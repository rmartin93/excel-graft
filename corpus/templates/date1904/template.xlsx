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date1904\"/>
    </mc:Choice>
  </mc:AlternateContent>
  <xr:revisionPtr revIDLastSave="0" documentId="8_{3EE4D2F8-DD28-4E1E-A161-332BF9953498}" xr6:coauthVersionLast="47" xr6:coauthVersionMax="47" xr10:uidLastSave="{00000000-0000-0000-0000-000000000000}"/>
  <bookViews>
    <workbookView xWindow="2240" yWindow="2470" windowWidth="28800" windowHeight="15910" xr2:uid="{5689F9B4-B6D3-4D99-AC76-409C777286FE}"/>
  </bookViews>
  <sheets>
    <sheet name="Shipments" sheetId="1" r:id="rId1"/>
  </sheets>
  <definedNames>
    <definedName name="AsOfDate">Shipments!$B$2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/>
  <c r="E9" i="1"/>
  <c r="F9" i="1"/>
  <c r="F5" i="1"/>
  <c r="F6" i="1"/>
  <c r="F7" i="1"/>
  <c r="F8" i="1"/>
  <c r="E5" i="1"/>
  <c r="E6" i="1"/>
  <c r="E7" i="1"/>
  <c r="E8" i="1"/>
</calcChain>
</file>

<file path=xl/sharedStrings.xml><?xml version="1.0" encoding="utf-8"?>
<sst xmlns="http://schemas.openxmlformats.org/spreadsheetml/2006/main" count="17" uniqueCount="17">
  <si>
    <t>Shipment Lead Times</t>
  </si>
  <si>
    <t>As of</t>
  </si>
  <si>
    <t>Order ID</t>
  </si>
  <si>
    <t>Customer</t>
  </si>
  <si>
    <t>Order Date</t>
  </si>
  <si>
    <t>Ship Date</t>
  </si>
  <si>
    <t>Days To Ship</t>
  </si>
  <si>
    <t>Age (days)</t>
  </si>
  <si>
    <t>SO-50211</t>
  </si>
  <si>
    <t>Bluebird Cafe</t>
  </si>
  <si>
    <t>SO-50219</t>
  </si>
  <si>
    <t>Harbor Supply Co.</t>
  </si>
  <si>
    <t>SO-50230</t>
  </si>
  <si>
    <t>Peak Outfitters</t>
  </si>
  <si>
    <t>SO-50244</t>
  </si>
  <si>
    <t>Lumen Labs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</si>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</sst>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m\ yyyy"/>
    <numFmt numFmtId="165" formatCode="yyyy\-mm\-dd"/>
    <numFmt numFmtId="166" formatCode="0.0"/>
  </numFmts>
  <fonts count="3" x14ac:knownFonts="1">
    <font>
      <sz val="11"/>
      <color theme="1"/>
      <name val="Garamond"/>
      <family val="2"/>
      <scheme val="minor"/>
    </font>
    <font>
      <b/>
      <sz val="18"/>
      <color theme="4" tint="-0.249977111117893"/>
      <name val="Garamond"/>
      <family val="1"/>
      <scheme val="major"/>
    </font>
    <font>
      <b/>
      <sz val="11"/>
      <color theme="1"/>
      <name val="Garamond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horizontal="left"/>
    </xf>
    <xf numFmtId="165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6">
    <dxf>
      <numFmt numFmtId="165" formatCode="yyyy\-mm\-dd"/>
    </dxf>
    <dxf>
      <numFmt numFmtId="166" formatCode="0.0"/>
    </dxf>
    <dxf>
      <numFmt numFmtId="1" formatCode="0"/>
    </dxf>
    <dxf>
      <numFmt numFmtId="1" formatCode="0"/>
    </dxf>
    <dxf>
      <numFmt numFmtId="165" formatCode="yyyy\-mm\-dd"/>
    </dxf>
    <dxf>
      <numFmt numFmtId="165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D23987-043E-43E5-9BCC-C177CC37BB1E}" name="Shipments" displayName="Shipments" ref="A4:F9" totalsRowCount="1">
  <autoFilter ref="A4:F8" xr:uid="{0ED23987-043E-43E5-9BCC-C177CC37BB1E}"/>
  <tableColumns count="6">
    <tableColumn id="1" xr3:uid="{63885EDB-37F1-49A6-9E44-C9F55F6F9C37}" name="Order ID" totalsRowLabel="Total"/>
    <tableColumn id="2" xr3:uid="{44D4EECE-952C-4690-BAA0-0C4BDAC41EC8}" name="Customer"/>
    <tableColumn id="3" xr3:uid="{AFCE9C8E-54F9-4544-83B4-8538BE82E965}" name="Order Date" totalsRowFunction="min" dataDxfId="5" totalsRowDxfId="0"/>
    <tableColumn id="4" xr3:uid="{BB81168B-C05A-4DD4-884B-9B1D3548C5C7}" name="Ship Date" dataDxfId="4"/>
    <tableColumn id="5" xr3:uid="{A58A2E31-5364-424C-9BEC-FB4492A539D6}" name="Days To Ship" totalsRowFunction="average" dataDxfId="3" totalsRowDxfId="1">
      <calculatedColumnFormula>Shipments[[#This Row],[Ship Date]]-Shipments[[#This Row],[Order Date]]</calculatedColumnFormula>
    </tableColumn>
    <tableColumn id="6" xr3:uid="{AA32D198-5618-4C28-82AB-6A931A96F01B}" name="Age (days)" totalsRowFunction="sum" dataDxfId="2">
      <calculatedColumnFormula>AsOfDate-Shipments[[#This Row],[Order Date]]</calculatedColumnFormula>
    </tableColumn>
  </tableColumns>
  <tableStyleInfo name="TableStyleMedium4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rganic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D712-F6B3-4091-95BE-36901F5059EE}">
  <dimension ref="A1:F9"/>
  <sheetViews>
    <sheetView showGridLines="0" tabSelected="1" workbookViewId="0"/>
  </sheetViews>
  <sheetFormatPr defaultRowHeight="14.5" x14ac:dyDescent="0.35"/>
  <cols>
    <col min="1" max="1" width="12.69921875" customWidth="1"/>
    <col min="2" max="2" width="20.69921875" customWidth="1"/>
    <col min="3" max="5" width="13.69921875" customWidth="1"/>
    <col min="6" max="6" width="12.69921875" customWidth="1"/>
  </cols>
  <sheetData>
    <row r="1" spans="1:6" ht="23" x14ac:dyDescent="0.5">
      <c r="A1" s="1" t="s">
        <v>0</v>
      </c>
    </row>
    <row r="2" spans="1:6" x14ac:dyDescent="0.35">
      <c r="A2" s="2" t="s">
        <v>1</v>
      </c>
      <c r="B2" s="3">
        <v>44376</v>
      </c>
    </row>
    <row r="4" spans="1:6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5">
      <c r="A5" t="s">
        <v>8</v>
      </c>
      <c r="B5" t="s">
        <v>9</v>
      </c>
      <c r="C5" s="4">
        <v>44317</v>
      </c>
      <c r="D5" s="4">
        <v>44321</v>
      </c>
      <c r="E5" s="5">
        <f>Shipments[[#This Row],[Ship Date]]-Shipments[[#This Row],[Order Date]]</f>
        <v>4</v>
      </c>
      <c r="F5" s="5">
        <f>AsOfDate-Shipments[[#This Row],[Order Date]]</f>
        <v>59</v>
      </c>
    </row>
    <row r="6" spans="1:6" x14ac:dyDescent="0.35">
      <c r="A6" t="s">
        <v>10</v>
      </c>
      <c r="B6" t="s">
        <v>11</v>
      </c>
      <c r="C6" s="4">
        <v>44324</v>
      </c>
      <c r="D6" s="4">
        <v>44335</v>
      </c>
      <c r="E6" s="5">
        <f>Shipments[[#This Row],[Ship Date]]-Shipments[[#This Row],[Order Date]]</f>
        <v>11</v>
      </c>
      <c r="F6" s="5">
        <f>AsOfDate-Shipments[[#This Row],[Order Date]]</f>
        <v>52</v>
      </c>
    </row>
    <row r="7" spans="1:6" x14ac:dyDescent="0.35">
      <c r="A7" t="s">
        <v>12</v>
      </c>
      <c r="B7" t="s">
        <v>13</v>
      </c>
      <c r="C7" s="4">
        <v>44343</v>
      </c>
      <c r="D7" s="4">
        <v>44344</v>
      </c>
      <c r="E7" s="5">
        <f>Shipments[[#This Row],[Ship Date]]-Shipments[[#This Row],[Order Date]]</f>
        <v>1</v>
      </c>
      <c r="F7" s="5">
        <f>AsOfDate-Shipments[[#This Row],[Order Date]]</f>
        <v>33</v>
      </c>
    </row>
    <row r="8" spans="1:6" x14ac:dyDescent="0.35">
      <c r="A8" t="s">
        <v>14</v>
      </c>
      <c r="B8" t="s">
        <v>15</v>
      </c>
      <c r="C8" s="4">
        <v>44358</v>
      </c>
      <c r="D8" s="4">
        <v>44365</v>
      </c>
      <c r="E8" s="5">
        <f>Shipments[[#This Row],[Ship Date]]-Shipments[[#This Row],[Order Date]]</f>
        <v>7</v>
      </c>
      <c r="F8" s="5">
        <f>AsOfDate-Shipments[[#This Row],[Order Date]]</f>
        <v>18</v>
      </c>
    </row>
    <row r="9" spans="1:6" x14ac:dyDescent="0.35">
      <c r="A9" t="s">
        <v>16</v>
      </c>
      <c r="C9" s="4">
        <f>SUBTOTAL(105,Shipments[Order Date])</f>
        <v>44317</v>
      </c>
      <c r="E9" s="6">
        <f>SUBTOTAL(101,Shipments[Days To Ship])</f>
        <v>5.75</v>
      </c>
      <c r="F9" s="5">
        <f>SUBTOTAL(109,Shipments[Age (days)])</f>
        <v>162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Shipments</vt:lpstr>
      <vt:lpstr>AsOfDate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2026-09-28T16:01:06Z</dcterms:created>
  <dcterms:modified xsi:type="dcterms:W3CDTF">2026-09-28T16:01:07Z</dcterms:modified>
</cp:coreProperties>
</file>