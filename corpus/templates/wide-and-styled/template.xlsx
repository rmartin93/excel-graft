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oxtr\LocalTools\excel-graft\corpus\templates\wide-and-styled\"/>
    </mc:Choice>
  </mc:AlternateContent>
  <xr:revisionPtr revIDLastSave="0" documentId="8_{4240E946-E29B-4828-B14C-C1516E99EE64}" xr6:coauthVersionLast="47" xr6:coauthVersionMax="47" xr10:uidLastSave="{00000000-0000-0000-0000-000000000000}"/>
  <bookViews>
    <workbookView xWindow="2240" yWindow="2470" windowWidth="28800" windowHeight="15910" xr2:uid="{7E2C4CB3-9153-48EA-ADAE-4CCF494EA6CB}"/>
  </bookViews>
  <sheets>
    <sheet name="GL" sheetId="1" r:id="rId1"/>
  </sheets>
  <definedNames>
    <definedName name="_xlnm.Print_Titles" localSheetId="0">GL!$4:$4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10" i="1" l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AE10" i="1"/>
  <c r="W5" i="1"/>
  <c r="W6" i="1"/>
  <c r="W7" i="1"/>
  <c r="W8" i="1"/>
  <c r="W9" i="1"/>
  <c r="V5" i="1"/>
  <c r="V6" i="1"/>
  <c r="V7" i="1"/>
  <c r="V8" i="1"/>
  <c r="V9" i="1"/>
  <c r="U5" i="1"/>
  <c r="U6" i="1"/>
  <c r="U7" i="1"/>
  <c r="U8" i="1"/>
  <c r="U9" i="1"/>
  <c r="T5" i="1"/>
  <c r="T6" i="1"/>
  <c r="T7" i="1"/>
  <c r="T8" i="1"/>
  <c r="T9" i="1"/>
  <c r="X7" i="1" l="1"/>
  <c r="Z7" i="1" s="1"/>
  <c r="AA7" i="1" s="1"/>
  <c r="X9" i="1"/>
  <c r="Z9" i="1" s="1"/>
  <c r="AA9" i="1" s="1"/>
  <c r="X8" i="1"/>
  <c r="Z8" i="1" s="1"/>
  <c r="AA8" i="1" s="1"/>
  <c r="X6" i="1"/>
  <c r="Z6" i="1" s="1"/>
  <c r="AA6" i="1" s="1"/>
  <c r="X5" i="1"/>
  <c r="Z5" i="1" s="1"/>
  <c r="AA5" i="1" s="1"/>
</calcChain>
</file>

<file path=xl/sharedStrings.xml><?xml version="1.0" encoding="utf-8"?>
<sst xmlns="http://schemas.openxmlformats.org/spreadsheetml/2006/main" count="73" uniqueCount="66">
  <si>
    <t>General Ledger - Operating Expense Detail, FY2025</t>
  </si>
  <si>
    <t>All amounts in USD. Months are grouped (click + above the columns to expand).</t>
  </si>
  <si>
    <t>Account No</t>
  </si>
  <si>
    <t>Account Name</t>
  </si>
  <si>
    <t>Department</t>
  </si>
  <si>
    <t>Cost Center</t>
  </si>
  <si>
    <t>Owner</t>
  </si>
  <si>
    <t>Region</t>
  </si>
  <si>
    <t>Currency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</si>
  <si>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</si>
  <si>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</si>
  <si>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</si>
  <si>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</si>
  <si>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</si>
  <si>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</si>
  <si>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</si>
  <si>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</si>
  <si>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</si>
  <si>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</si>
  <si>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</si>
  <si>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</si>
  <si>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Q1</t>
  </si>
  <si>
    <t>Q2</t>
  </si>
  <si>
    <t>Q3</t>
  </si>
  <si>
    <t>Q4</t>
  </si>
  <si>
    <t>FY Total</t>
  </si>
  <si>
    <t>Budget</t>
  </si>
  <si>
    <t>Variance</t>
  </si>
  <si>
    <t>Variance %</t>
  </si>
  <si>
    <t>Trend</t>
  </si>
  <si>
    <t>Status</t>
  </si>
  <si>
    <t>Last Reviewed</t>
  </si>
  <si>
    <t>Notes</t>
  </si>
  <si>
    <t>Salaries &amp; wages - admin</t>
  </si>
  <si>
    <t>Administration</t>
  </si>
  <si>
    <t>CC-100</t>
  </si>
  <si>
    <t>R. Singh</t>
  </si>
  <si>
    <t>US-East</t>
  </si>
  <si>
    <t>USD</t>
  </si>
  <si>
    <t>Open</t>
  </si>
  <si>
    <t>Includes Q3 merit increases.</t>
  </si>
  <si>
    <t>Software subscriptions</t>
  </si>
  <si>
    <t>IT</t>
  </si>
  <si>
    <t>CC-210</t>
  </si>
  <si>
    <t>P. Novak</t>
  </si>
  <si>
    <t>US-West</t>
  </si>
  <si>
    <t>Reviewed</t>
  </si>
  <si>
    <t>Annual renewal of ERP and CRM licences moved from March to January; see PO 88213.</t>
  </si>
  <si>
    <t>Travel &amp; entertainment</t>
  </si>
  <si>
    <t>Sales</t>
  </si>
  <si>
    <t>CC-330</t>
  </si>
  <si>
    <t>J. Fischer</t>
  </si>
  <si>
    <t>EMEA</t>
  </si>
  <si>
    <t>Facilities &amp; utilities</t>
  </si>
  <si>
    <t>Operations</t>
  </si>
  <si>
    <t>CC-400</t>
  </si>
  <si>
    <t>L. Moreau</t>
  </si>
  <si>
    <t>Flagged</t>
  </si>
  <si>
    <t>Utility rebate received in August.</t>
  </si>
  <si>
    <t>Professional services</t>
  </si>
  <si>
    <t>Finance</t>
  </si>
  <si>
    <t>CC-120</t>
  </si>
  <si>
    <t>A. Haddad</t>
  </si>
  <si>
    <t>US-Central</t>
  </si>
  <si>
    <t>Audit fees, legal retainer, and a one-off valuation engagement for the acquisition due diligence.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</si>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</sst>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_);_(&quot;$&quot;* \(#,##0\);_(&quot;$&quot;* &quot;-&quot;??_);_(@_)"/>
    <numFmt numFmtId="165" formatCode="0.0%;[Red]\-0.0%"/>
    <numFmt numFmtId="166" formatCode="dd\-mmm\-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4" tint="-0.249977111117893"/>
      <name val="Calibri Light"/>
      <family val="2"/>
      <scheme val="major"/>
    </font>
    <font>
      <sz val="11"/>
      <color rgb="FF7676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164" fontId="0" fillId="0" borderId="1" xfId="0" applyNumberFormat="1" applyFill="1" applyBorder="1" applyAlignment="1">
      <alignment vertical="top"/>
    </xf>
    <xf numFmtId="165" fontId="0" fillId="0" borderId="1" xfId="0" applyNumberFormat="1" applyFill="1" applyBorder="1" applyAlignment="1">
      <alignment vertical="top"/>
    </xf>
    <xf numFmtId="166" fontId="0" fillId="0" borderId="1" xfId="0" applyNumberFormat="1" applyFill="1" applyBorder="1" applyAlignment="1">
      <alignment vertical="top"/>
    </xf>
    <xf numFmtId="0" fontId="0" fillId="0" borderId="2" xfId="0" applyFill="1" applyBorder="1" applyAlignment="1">
      <alignment horizontal="center" vertical="center" wrapText="1"/>
    </xf>
    <xf numFmtId="165" fontId="0" fillId="0" borderId="2" xfId="0" applyNumberFormat="1" applyFill="1" applyBorder="1" applyAlignment="1">
      <alignment horizontal="center" vertical="center" wrapText="1"/>
    </xf>
    <xf numFmtId="0" fontId="0" fillId="0" borderId="3" xfId="0" applyFill="1" applyBorder="1"/>
    <xf numFmtId="164" fontId="0" fillId="0" borderId="3" xfId="0" applyNumberFormat="1" applyFill="1" applyBorder="1"/>
    <xf numFmtId="165" fontId="0" fillId="0" borderId="3" xfId="0" applyNumberFormat="1" applyFill="1" applyBorder="1"/>
    <xf numFmtId="0" fontId="0" fillId="0" borderId="4" xfId="0" applyFill="1" applyBorder="1" applyAlignment="1">
      <alignment horizontal="center" vertical="center" wrapText="1"/>
    </xf>
    <xf numFmtId="1" fontId="0" fillId="0" borderId="5" xfId="0" applyNumberFormat="1" applyFill="1" applyBorder="1" applyAlignment="1">
      <alignment vertical="top"/>
    </xf>
    <xf numFmtId="0" fontId="0" fillId="0" borderId="6" xfId="0" applyFill="1" applyBorder="1"/>
    <xf numFmtId="0" fontId="0" fillId="0" borderId="7" xfId="0" applyFill="1" applyBorder="1" applyAlignment="1">
      <alignment horizontal="center" vertical="center" wrapText="1"/>
    </xf>
    <xf numFmtId="0" fontId="0" fillId="0" borderId="8" xfId="0" applyFill="1" applyBorder="1" applyAlignment="1">
      <alignment vertical="top" wrapText="1"/>
    </xf>
    <xf numFmtId="0" fontId="0" fillId="0" borderId="9" xfId="0" applyFill="1" applyBorder="1"/>
    <xf numFmtId="164" fontId="0" fillId="2" borderId="1" xfId="0" applyNumberFormat="1" applyFill="1" applyBorder="1" applyAlignment="1">
      <alignment vertical="top"/>
    </xf>
    <xf numFmtId="164" fontId="0" fillId="2" borderId="3" xfId="0" applyNumberFormat="1" applyFill="1" applyBorder="1"/>
    <xf numFmtId="0" fontId="0" fillId="2" borderId="2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vertical="top"/>
    </xf>
    <xf numFmtId="164" fontId="1" fillId="2" borderId="3" xfId="0" applyNumberFormat="1" applyFont="1" applyFill="1" applyBorder="1"/>
  </cellXfs>
  <cellStyles count="1">
    <cellStyle name="Normal" xfId="0" builtinId="0"/>
  </cellStyles>
  <dxfs count="68">
    <dxf>
      <font>
        <b/>
      </font>
      <numFmt numFmtId="164" formatCode="_(&quot;$&quot;* #,##0_);_(&quot;$&quot;* \(#,##0\);_(&quot;$&quot;* &quot;-&quot;??_);_(@_)"/>
      <fill>
        <patternFill patternType="solid">
          <fgColor indexed="64"/>
          <bgColor theme="5" tint="0.79998168889431442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164" formatCode="_(&quot;$&quot;* #,##0_);_(&quot;$&quot;* \(#,##0\);_(&quot;$&quot;* &quot;-&quot;??_);_(@_)"/>
      <fill>
        <patternFill patternType="solid">
          <fgColor indexed="64"/>
          <bgColor theme="5" tint="0.79998168889431442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rgb="FFBFBFBF"/>
        </top>
        <bottom style="thin">
          <color rgb="FFBFBFBF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_(&quot;$&quot;* #,##0_);_(&quot;$&quot;* \(#,##0\);_(&quot;$&quot;* &quot;-&quot;??_);_(@_)"/>
      <fill>
        <patternFill patternType="solid">
          <fgColor indexed="64"/>
          <bgColor theme="5" tint="0.79998168889431442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rgb="FFBFBFBF"/>
        </top>
        <bottom style="thin">
          <color rgb="FFBFBFBF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_(&quot;$&quot;* #,##0_);_(&quot;$&quot;* \(#,##0\);_(&quot;$&quot;* &quot;-&quot;??_);_(@_)"/>
      <fill>
        <patternFill patternType="solid">
          <fgColor indexed="64"/>
          <bgColor theme="5" tint="0.79998168889431442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rgb="FFBFBFBF"/>
        </top>
        <bottom style="thin">
          <color rgb="FFBFBFBF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_(&quot;$&quot;* #,##0_);_(&quot;$&quot;* \(#,##0\);_(&quot;$&quot;* &quot;-&quot;??_);_(@_)"/>
      <fill>
        <patternFill patternType="solid">
          <fgColor indexed="64"/>
          <bgColor theme="5" tint="0.7999816888943144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border diagonalUp="0" diagonalDown="0" outline="0">
        <left style="thin">
          <color rgb="FFBFBFBF"/>
        </left>
        <right/>
        <top/>
        <bottom/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6" formatCode="dd\-mmm\-yy"/>
      <alignment horizontal="general" vertical="top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165" formatCode="0.0%;[Red]\-0.0%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5" formatCode="0.0%;[Red]\-0.0%"/>
      <alignment horizontal="general" vertical="top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diagonalUp="0" diagonalDown="0" outline="0">
        <left/>
        <right style="thin">
          <color rgb="FFBFBFBF"/>
        </right>
        <top/>
        <bottom/>
      </border>
    </dxf>
    <dxf>
      <numFmt numFmtId="1" formatCode="0"/>
      <alignment horizontal="general" vertical="top" textRotation="0" wrapText="0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A2361E-1301-4559-A30F-EA376D5BBAFA}" name="Ledger" displayName="Ledger" ref="A4:AE10" totalsRowCount="1" headerRowDxfId="13" dataDxfId="67" totalsRowDxfId="12" headerRowBorderDxfId="65" tableBorderDxfId="66" totalsRowBorderDxfId="64">
  <autoFilter ref="A4:AE9" xr:uid="{3FA2361E-1301-4559-A30F-EA376D5BBAFA}"/>
  <tableColumns count="31">
    <tableColumn id="1" xr3:uid="{9124B50D-599E-4A87-B36E-AC3D2BC56E93}" name="Account No" totalsRowLabel="Total" dataDxfId="63" totalsRowDxfId="62"/>
    <tableColumn id="2" xr3:uid="{F9D85C89-4341-44E5-95E9-D2BBAEB53626}" name="Account Name" dataDxfId="61" totalsRowDxfId="60"/>
    <tableColumn id="3" xr3:uid="{2E74CC45-0B7C-44ED-878F-14CDB4C44115}" name="Department" dataDxfId="59" totalsRowDxfId="58"/>
    <tableColumn id="4" xr3:uid="{226A0F0B-81A7-448C-A3EE-05C3C8143477}" name="Cost Center" dataDxfId="57" totalsRowDxfId="56"/>
    <tableColumn id="5" xr3:uid="{545938F3-0AB1-45F1-9868-7C2F62EC1621}" name="Owner" dataDxfId="55" totalsRowDxfId="54"/>
    <tableColumn id="6" xr3:uid="{04B45C1A-CCB5-4E3F-9EDD-4E8C81B390DD}" name="Region" dataDxfId="53" totalsRowDxfId="52"/>
    <tableColumn id="7" xr3:uid="{1D7E866A-D577-4594-AE76-54FEDB99B337}" name="Currency" dataDxfId="51" totalsRowDxfId="50"/>
    <tableColumn id="8" xr3:uid="{C956FA60-9E6D-42DB-9ED9-02DB64E46B07}" name="Jan" totalsRowFunction="sum" dataDxfId="49" totalsRowDxfId="48"/>
    <tableColumn id="9" xr3:uid="{353D7C78-6922-498F-923F-194D04C1DAEF}" name="Feb" totalsRowFunction="sum" dataDxfId="47" totalsRowDxfId="46"/>
    <tableColumn id="10" xr3:uid="{1A43B4D6-70F0-4CE2-8F25-61D7B9D5388A}" name="Mar" totalsRowFunction="sum" dataDxfId="45" totalsRowDxfId="44"/>
    <tableColumn id="11" xr3:uid="{D1D84626-834E-4B9E-8980-29B4CC6B6BA3}" name="Apr" totalsRowFunction="sum" dataDxfId="43" totalsRowDxfId="42"/>
    <tableColumn id="12" xr3:uid="{491B8BBA-3325-47EF-A5C7-82967C75D3A2}" name="May" totalsRowFunction="sum" dataDxfId="41" totalsRowDxfId="40"/>
    <tableColumn id="13" xr3:uid="{A2998DBB-07AB-4A9A-A1D8-FE6BACC048F5}" name="Jun" totalsRowFunction="sum" dataDxfId="39" totalsRowDxfId="38"/>
    <tableColumn id="14" xr3:uid="{E4CE0389-1C26-42F5-ACF6-A07241C6B0F7}" name="Jul" totalsRowFunction="sum" dataDxfId="37" totalsRowDxfId="36"/>
    <tableColumn id="15" xr3:uid="{E61D4516-0D18-4F74-8C55-DB252697590B}" name="Aug" totalsRowFunction="sum" dataDxfId="35" totalsRowDxfId="34"/>
    <tableColumn id="16" xr3:uid="{1978ABCB-107B-4CFA-8EF8-B71D9EA4A5D7}" name="Sep" totalsRowFunction="sum" dataDxfId="33" totalsRowDxfId="32"/>
    <tableColumn id="17" xr3:uid="{85943F74-B407-4E95-BC0B-625CF9DDEE3A}" name="Oct" totalsRowFunction="sum" dataDxfId="31" totalsRowDxfId="30"/>
    <tableColumn id="18" xr3:uid="{B7541590-9D38-4CEE-88C8-43125C42E7A2}" name="Nov" totalsRowFunction="sum" dataDxfId="29" totalsRowDxfId="28"/>
    <tableColumn id="19" xr3:uid="{12E2D296-7E9E-4DFF-88BF-59CEF8220D9D}" name="Dec" totalsRowFunction="sum" dataDxfId="11" totalsRowDxfId="27"/>
    <tableColumn id="20" xr3:uid="{B4E485F7-D961-4EC2-BFAF-889FCC747AA4}" name="Q1" totalsRowFunction="sum" dataDxfId="9" totalsRowDxfId="10">
      <calculatedColumnFormula>SUM(Ledger[[#This Row],[Jan]:[Mar]])</calculatedColumnFormula>
    </tableColumn>
    <tableColumn id="21" xr3:uid="{91B43DF0-E49A-471B-AD36-FF6FC65C6805}" name="Q2" totalsRowFunction="sum" dataDxfId="7" totalsRowDxfId="8">
      <calculatedColumnFormula>SUM(Ledger[[#This Row],[Apr]:[Jun]])</calculatedColumnFormula>
    </tableColumn>
    <tableColumn id="22" xr3:uid="{D3B396C2-C141-4F5D-BCFA-169AF6B6C26D}" name="Q3" totalsRowFunction="sum" dataDxfId="5" totalsRowDxfId="6">
      <calculatedColumnFormula>SUM(Ledger[[#This Row],[Jul]:[Sep]])</calculatedColumnFormula>
    </tableColumn>
    <tableColumn id="23" xr3:uid="{642B8CDF-2E98-412D-9C7D-6A2DF0A44C8A}" name="Q4" totalsRowFunction="sum" dataDxfId="2" totalsRowDxfId="4">
      <calculatedColumnFormula>SUM(Ledger[[#This Row],[Oct]:[Dec]])</calculatedColumnFormula>
    </tableColumn>
    <tableColumn id="24" xr3:uid="{6432225F-ADB9-4C63-B15C-2287AE1C33C4}" name="FY Total" totalsRowFunction="sum" dataDxfId="0" totalsRowDxfId="3">
      <calculatedColumnFormula>SUM(Ledger[[#This Row],[Q1]:[Q4]])</calculatedColumnFormula>
    </tableColumn>
    <tableColumn id="25" xr3:uid="{0D89FA2C-81CB-4879-A1E3-1C456849100C}" name="Budget" totalsRowFunction="sum" dataDxfId="1" totalsRowDxfId="26"/>
    <tableColumn id="26" xr3:uid="{F4C598DC-D8C1-4FA2-9492-52996C8B3D57}" name="Variance" totalsRowFunction="sum" dataDxfId="25" totalsRowDxfId="24">
      <calculatedColumnFormula>Ledger[[#This Row],[FY Total]]-Ledger[[#This Row],[Budget]]</calculatedColumnFormula>
    </tableColumn>
    <tableColumn id="27" xr3:uid="{0BEC9F69-7549-4CD8-8554-2A0230C771DC}" name="Variance %" dataDxfId="23" totalsRowDxfId="22">
      <calculatedColumnFormula>IF(Ledger[[#This Row],[Budget]]=0,0,Ledger[[#This Row],[Variance]]/Ledger[[#This Row],[Budget]])</calculatedColumnFormula>
    </tableColumn>
    <tableColumn id="28" xr3:uid="{FE4BD9A9-5EEB-4F19-8BDE-75E36F13969A}" name="Trend" dataDxfId="21" totalsRowDxfId="20"/>
    <tableColumn id="29" xr3:uid="{8848C1C1-2A6E-40CC-83AC-4E7FCF880A3C}" name="Status" dataDxfId="19" totalsRowDxfId="18"/>
    <tableColumn id="30" xr3:uid="{76845662-85C9-4450-BD92-ED5CBA6C1BC2}" name="Last Reviewed" dataDxfId="17" totalsRowDxfId="16"/>
    <tableColumn id="31" xr3:uid="{AB2EF6A4-32EA-42D0-8BF3-E385675B44FD}" name="Notes" totalsRowFunction="count" dataDxfId="15" totalsRowDxf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Retrospect">
  <a:themeElements>
    <a:clrScheme name="Retrospect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Retrospect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Retro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hade val="92000"/>
                <a:satMod val="130000"/>
              </a:schemeClr>
            </a:gs>
            <a:gs pos="45000">
              <a:schemeClr val="phClr">
                <a:tint val="60000"/>
                <a:shade val="99000"/>
                <a:satMod val="120000"/>
              </a:schemeClr>
            </a:gs>
            <a:gs pos="100000">
              <a:schemeClr val="phClr">
                <a:tint val="55000"/>
                <a:satMod val="14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  <a:satMod val="130000"/>
              </a:schemeClr>
            </a:gs>
            <a:gs pos="34000">
              <a:schemeClr val="phClr">
                <a:shade val="87000"/>
                <a:satMod val="125000"/>
              </a:schemeClr>
            </a:gs>
            <a:gs pos="70000">
              <a:schemeClr val="phClr">
                <a:tint val="100000"/>
                <a:shade val="90000"/>
                <a:satMod val="130000"/>
              </a:schemeClr>
            </a:gs>
            <a:gs pos="100000">
              <a:schemeClr val="phClr">
                <a:tint val="100000"/>
                <a:shade val="100000"/>
                <a:satMod val="11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4445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flat">
            <a:bevelT w="25400" h="3175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B1068-D53B-4A57-952B-0C2921AD7668}">
  <sheetPr>
    <pageSetUpPr fitToPage="1"/>
  </sheetPr>
  <dimension ref="A1:AE10"/>
  <sheetViews>
    <sheetView tabSelected="1" workbookViewId="0">
      <pane xSplit="2" ySplit="4" topLeftCell="C5" activePane="bottomRight" state="frozenSplit"/>
      <selection pane="bottomLeft" activeCell="A5" sqref="A5"/>
      <selection pane="topRight" activeCell="C1" sqref="C1"/>
      <selection pane="bottomRight"/>
    </sheetView>
  </sheetViews>
  <sheetFormatPr defaultRowHeight="14.5" outlineLevelRow="1" outlineLevelCol="1" x14ac:dyDescent="0.35"/>
  <cols>
    <col min="1" max="1" width="9.6328125" customWidth="1"/>
    <col min="2" max="2" width="22.6328125" customWidth="1"/>
    <col min="3" max="3" width="14.6328125" customWidth="1"/>
    <col min="4" max="4" width="10.6328125" hidden="1" customWidth="1"/>
    <col min="5" max="5" width="11.6328125" customWidth="1"/>
    <col min="6" max="6" width="10.6328125" customWidth="1"/>
    <col min="7" max="7" width="8.6328125" hidden="1" customWidth="1"/>
    <col min="8" max="19" width="9.6328125" customWidth="1" outlineLevel="1"/>
    <col min="20" max="23" width="10.6328125" customWidth="1"/>
    <col min="24" max="26" width="11.6328125" customWidth="1"/>
    <col min="27" max="27" width="9.6328125" customWidth="1"/>
    <col min="28" max="28" width="14.6328125" customWidth="1"/>
    <col min="29" max="29" width="10.6328125" customWidth="1"/>
    <col min="30" max="30" width="11.6328125" customWidth="1"/>
    <col min="31" max="31" width="40.6328125" customWidth="1"/>
  </cols>
  <sheetData>
    <row r="1" spans="1:31" ht="23.5" x14ac:dyDescent="0.55000000000000004">
      <c r="A1" s="1" t="s">
        <v>0</v>
      </c>
    </row>
    <row r="2" spans="1:31" x14ac:dyDescent="0.35">
      <c r="A2" s="2" t="s">
        <v>1</v>
      </c>
    </row>
    <row r="4" spans="1:31" ht="33" customHeight="1" x14ac:dyDescent="0.35">
      <c r="A4" s="13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  <c r="N4" s="8" t="s">
        <v>15</v>
      </c>
      <c r="O4" s="8" t="s">
        <v>16</v>
      </c>
      <c r="P4" s="8" t="s">
        <v>17</v>
      </c>
      <c r="Q4" s="8" t="s">
        <v>18</v>
      </c>
      <c r="R4" s="8" t="s">
        <v>19</v>
      </c>
      <c r="S4" s="8" t="s">
        <v>20</v>
      </c>
      <c r="T4" s="21" t="s">
        <v>21</v>
      </c>
      <c r="U4" s="21" t="s">
        <v>22</v>
      </c>
      <c r="V4" s="21" t="s">
        <v>23</v>
      </c>
      <c r="W4" s="21" t="s">
        <v>24</v>
      </c>
      <c r="X4" s="21" t="s">
        <v>25</v>
      </c>
      <c r="Y4" s="8" t="s">
        <v>26</v>
      </c>
      <c r="Z4" s="8" t="s">
        <v>27</v>
      </c>
      <c r="AA4" s="9" t="s">
        <v>28</v>
      </c>
      <c r="AB4" s="8" t="s">
        <v>29</v>
      </c>
      <c r="AC4" s="8" t="s">
        <v>30</v>
      </c>
      <c r="AD4" s="8" t="s">
        <v>31</v>
      </c>
      <c r="AE4" s="16" t="s">
        <v>32</v>
      </c>
    </row>
    <row r="5" spans="1:31" ht="30" customHeight="1" outlineLevel="1" x14ac:dyDescent="0.35">
      <c r="A5" s="14">
        <v>61000</v>
      </c>
      <c r="B5" s="3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5">
        <v>19811.66</v>
      </c>
      <c r="I5" s="5">
        <v>15541.35</v>
      </c>
      <c r="J5" s="5">
        <v>15416.7</v>
      </c>
      <c r="K5" s="5">
        <v>18634.39</v>
      </c>
      <c r="L5" s="5">
        <v>15764.32</v>
      </c>
      <c r="M5" s="5">
        <v>16527</v>
      </c>
      <c r="N5" s="5">
        <v>20267.71</v>
      </c>
      <c r="O5" s="5">
        <v>18554.669999999998</v>
      </c>
      <c r="P5" s="5">
        <v>15806.57</v>
      </c>
      <c r="Q5" s="5">
        <v>20566.13</v>
      </c>
      <c r="R5" s="5">
        <v>16300.17</v>
      </c>
      <c r="S5" s="5">
        <v>16484.3</v>
      </c>
      <c r="T5" s="19">
        <f>SUM(Ledger[[#This Row],[Jan]:[Mar]])</f>
        <v>50769.710000000006</v>
      </c>
      <c r="U5" s="19">
        <f>SUM(Ledger[[#This Row],[Apr]:[Jun]])</f>
        <v>50925.71</v>
      </c>
      <c r="V5" s="19">
        <f>SUM(Ledger[[#This Row],[Jul]:[Sep]])</f>
        <v>54628.95</v>
      </c>
      <c r="W5" s="19">
        <f>SUM(Ledger[[#This Row],[Oct]:[Dec]])</f>
        <v>53350.600000000006</v>
      </c>
      <c r="X5" s="22">
        <f>SUM(Ledger[[#This Row],[Q1]:[Q4]])</f>
        <v>209674.97</v>
      </c>
      <c r="Y5" s="5">
        <v>220300</v>
      </c>
      <c r="Z5" s="5">
        <f>Ledger[[#This Row],[FY Total]]-Ledger[[#This Row],[Budget]]</f>
        <v>-10625.029999999999</v>
      </c>
      <c r="AA5" s="6">
        <f>IF(Ledger[[#This Row],[Budget]]=0,0,Ledger[[#This Row],[Variance]]/Ledger[[#This Row],[Budget]])</f>
        <v>-4.8229822968679066E-2</v>
      </c>
      <c r="AB5" s="4"/>
      <c r="AC5" s="4" t="s">
        <v>39</v>
      </c>
      <c r="AD5" s="7">
        <v>46006</v>
      </c>
      <c r="AE5" s="17" t="s">
        <v>40</v>
      </c>
    </row>
    <row r="6" spans="1:31" ht="30" customHeight="1" outlineLevel="1" x14ac:dyDescent="0.35">
      <c r="A6" s="14">
        <v>61500</v>
      </c>
      <c r="B6" s="3" t="s">
        <v>41</v>
      </c>
      <c r="C6" s="4" t="s">
        <v>42</v>
      </c>
      <c r="D6" s="4" t="s">
        <v>43</v>
      </c>
      <c r="E6" s="4" t="s">
        <v>44</v>
      </c>
      <c r="F6" s="4" t="s">
        <v>45</v>
      </c>
      <c r="G6" s="4" t="s">
        <v>38</v>
      </c>
      <c r="H6" s="5">
        <v>4315.59</v>
      </c>
      <c r="I6" s="5">
        <v>3965.24</v>
      </c>
      <c r="J6" s="5">
        <v>4080.03</v>
      </c>
      <c r="K6" s="5">
        <v>3851.86</v>
      </c>
      <c r="L6" s="5">
        <v>4337.9799999999996</v>
      </c>
      <c r="M6" s="5">
        <v>3426.75</v>
      </c>
      <c r="N6" s="5">
        <v>4898.72</v>
      </c>
      <c r="O6" s="5">
        <v>4450.8999999999996</v>
      </c>
      <c r="P6" s="5">
        <v>4111.22</v>
      </c>
      <c r="Q6" s="5">
        <v>3647.64</v>
      </c>
      <c r="R6" s="5">
        <v>3530.31</v>
      </c>
      <c r="S6" s="5">
        <v>4692.74</v>
      </c>
      <c r="T6" s="19">
        <f>SUM(Ledger[[#This Row],[Jan]:[Mar]])</f>
        <v>12360.86</v>
      </c>
      <c r="U6" s="19">
        <f>SUM(Ledger[[#This Row],[Apr]:[Jun]])</f>
        <v>11616.59</v>
      </c>
      <c r="V6" s="19">
        <f>SUM(Ledger[[#This Row],[Jul]:[Sep]])</f>
        <v>13460.84</v>
      </c>
      <c r="W6" s="19">
        <f>SUM(Ledger[[#This Row],[Oct]:[Dec]])</f>
        <v>11870.689999999999</v>
      </c>
      <c r="X6" s="22">
        <f>SUM(Ledger[[#This Row],[Q1]:[Q4]])</f>
        <v>49308.979999999996</v>
      </c>
      <c r="Y6" s="5">
        <v>51400</v>
      </c>
      <c r="Z6" s="5">
        <f>Ledger[[#This Row],[FY Total]]-Ledger[[#This Row],[Budget]]</f>
        <v>-2091.0200000000041</v>
      </c>
      <c r="AA6" s="6">
        <f>IF(Ledger[[#This Row],[Budget]]=0,0,Ledger[[#This Row],[Variance]]/Ledger[[#This Row],[Budget]])</f>
        <v>-4.0681322957198521E-2</v>
      </c>
      <c r="AB6" s="4"/>
      <c r="AC6" s="4" t="s">
        <v>46</v>
      </c>
      <c r="AD6" s="7">
        <v>46006</v>
      </c>
      <c r="AE6" s="17" t="s">
        <v>47</v>
      </c>
    </row>
    <row r="7" spans="1:31" ht="30" customHeight="1" outlineLevel="1" x14ac:dyDescent="0.35">
      <c r="A7" s="14">
        <v>62000</v>
      </c>
      <c r="B7" s="3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38</v>
      </c>
      <c r="H7" s="5">
        <v>7587.33</v>
      </c>
      <c r="I7" s="5">
        <v>6779.41</v>
      </c>
      <c r="J7" s="5">
        <v>5329.13</v>
      </c>
      <c r="K7" s="5">
        <v>7280.13</v>
      </c>
      <c r="L7" s="5">
        <v>5632.2</v>
      </c>
      <c r="M7" s="5">
        <v>7850.67</v>
      </c>
      <c r="N7" s="5">
        <v>7225.82</v>
      </c>
      <c r="O7" s="5">
        <v>6710.51</v>
      </c>
      <c r="P7" s="5">
        <v>5745.16</v>
      </c>
      <c r="Q7" s="5">
        <v>5321.42</v>
      </c>
      <c r="R7" s="5">
        <v>6101.48</v>
      </c>
      <c r="S7" s="5">
        <v>6905.74</v>
      </c>
      <c r="T7" s="19">
        <f>SUM(Ledger[[#This Row],[Jan]:[Mar]])</f>
        <v>19695.87</v>
      </c>
      <c r="U7" s="19">
        <f>SUM(Ledger[[#This Row],[Apr]:[Jun]])</f>
        <v>20763</v>
      </c>
      <c r="V7" s="19">
        <f>SUM(Ledger[[#This Row],[Jul]:[Sep]])</f>
        <v>19681.489999999998</v>
      </c>
      <c r="W7" s="19">
        <f>SUM(Ledger[[#This Row],[Oct]:[Dec]])</f>
        <v>18328.64</v>
      </c>
      <c r="X7" s="22">
        <f>SUM(Ledger[[#This Row],[Q1]:[Q4]])</f>
        <v>78469</v>
      </c>
      <c r="Y7" s="5">
        <v>79600</v>
      </c>
      <c r="Z7" s="5">
        <f>Ledger[[#This Row],[FY Total]]-Ledger[[#This Row],[Budget]]</f>
        <v>-1131</v>
      </c>
      <c r="AA7" s="6">
        <f>IF(Ledger[[#This Row],[Budget]]=0,0,Ledger[[#This Row],[Variance]]/Ledger[[#This Row],[Budget]])</f>
        <v>-1.420854271356784E-2</v>
      </c>
      <c r="AB7" s="4"/>
      <c r="AC7" s="4" t="s">
        <v>46</v>
      </c>
      <c r="AD7" s="7">
        <v>46006</v>
      </c>
      <c r="AE7" s="17"/>
    </row>
    <row r="8" spans="1:31" ht="30" customHeight="1" outlineLevel="1" x14ac:dyDescent="0.35">
      <c r="A8" s="14">
        <v>63000</v>
      </c>
      <c r="B8" s="3" t="s">
        <v>53</v>
      </c>
      <c r="C8" s="4" t="s">
        <v>54</v>
      </c>
      <c r="D8" s="4" t="s">
        <v>55</v>
      </c>
      <c r="E8" s="4" t="s">
        <v>56</v>
      </c>
      <c r="F8" s="4" t="s">
        <v>37</v>
      </c>
      <c r="G8" s="4" t="s">
        <v>38</v>
      </c>
      <c r="H8" s="5">
        <v>11460.9</v>
      </c>
      <c r="I8" s="5">
        <v>7857.44</v>
      </c>
      <c r="J8" s="5">
        <v>10202.530000000001</v>
      </c>
      <c r="K8" s="5">
        <v>11390.86</v>
      </c>
      <c r="L8" s="5">
        <v>11140.26</v>
      </c>
      <c r="M8" s="5">
        <v>9535.9699999999993</v>
      </c>
      <c r="N8" s="5">
        <v>8497.6200000000008</v>
      </c>
      <c r="O8" s="5">
        <v>7956.16</v>
      </c>
      <c r="P8" s="5">
        <v>8064.95</v>
      </c>
      <c r="Q8" s="5">
        <v>11287.05</v>
      </c>
      <c r="R8" s="5">
        <v>10602.67</v>
      </c>
      <c r="S8" s="5">
        <v>8347.93</v>
      </c>
      <c r="T8" s="19">
        <f>SUM(Ledger[[#This Row],[Jan]:[Mar]])</f>
        <v>29520.870000000003</v>
      </c>
      <c r="U8" s="19">
        <f>SUM(Ledger[[#This Row],[Apr]:[Jun]])</f>
        <v>32067.090000000004</v>
      </c>
      <c r="V8" s="19">
        <f>SUM(Ledger[[#This Row],[Jul]:[Sep]])</f>
        <v>24518.73</v>
      </c>
      <c r="W8" s="19">
        <f>SUM(Ledger[[#This Row],[Oct]:[Dec]])</f>
        <v>30237.65</v>
      </c>
      <c r="X8" s="22">
        <f>SUM(Ledger[[#This Row],[Q1]:[Q4]])</f>
        <v>116344.34</v>
      </c>
      <c r="Y8" s="5">
        <v>120000</v>
      </c>
      <c r="Z8" s="5">
        <f>Ledger[[#This Row],[FY Total]]-Ledger[[#This Row],[Budget]]</f>
        <v>-3655.6600000000035</v>
      </c>
      <c r="AA8" s="6">
        <f>IF(Ledger[[#This Row],[Budget]]=0,0,Ledger[[#This Row],[Variance]]/Ledger[[#This Row],[Budget]])</f>
        <v>-3.0463833333333364E-2</v>
      </c>
      <c r="AB8" s="4"/>
      <c r="AC8" s="4" t="s">
        <v>57</v>
      </c>
      <c r="AD8" s="7">
        <v>46006</v>
      </c>
      <c r="AE8" s="17" t="s">
        <v>58</v>
      </c>
    </row>
    <row r="9" spans="1:31" ht="30" customHeight="1" outlineLevel="1" x14ac:dyDescent="0.35">
      <c r="A9" s="14">
        <v>64000</v>
      </c>
      <c r="B9" s="3" t="s">
        <v>59</v>
      </c>
      <c r="C9" s="4" t="s">
        <v>60</v>
      </c>
      <c r="D9" s="4" t="s">
        <v>61</v>
      </c>
      <c r="E9" s="4" t="s">
        <v>62</v>
      </c>
      <c r="F9" s="4" t="s">
        <v>63</v>
      </c>
      <c r="G9" s="4" t="s">
        <v>38</v>
      </c>
      <c r="H9" s="5">
        <v>6661.12</v>
      </c>
      <c r="I9" s="5">
        <v>8377.43</v>
      </c>
      <c r="J9" s="5">
        <v>6791.36</v>
      </c>
      <c r="K9" s="5">
        <v>7969.16</v>
      </c>
      <c r="L9" s="5">
        <v>6311.88</v>
      </c>
      <c r="M9" s="5">
        <v>5986.18</v>
      </c>
      <c r="N9" s="5">
        <v>7825.98</v>
      </c>
      <c r="O9" s="5">
        <v>7534.78</v>
      </c>
      <c r="P9" s="5">
        <v>6006.86</v>
      </c>
      <c r="Q9" s="5">
        <v>7220.9</v>
      </c>
      <c r="R9" s="5">
        <v>8161.12</v>
      </c>
      <c r="S9" s="5">
        <v>7904.5</v>
      </c>
      <c r="T9" s="19">
        <f>SUM(Ledger[[#This Row],[Jan]:[Mar]])</f>
        <v>21829.91</v>
      </c>
      <c r="U9" s="19">
        <f>SUM(Ledger[[#This Row],[Apr]:[Jun]])</f>
        <v>20267.22</v>
      </c>
      <c r="V9" s="19">
        <f>SUM(Ledger[[#This Row],[Jul]:[Sep]])</f>
        <v>21367.62</v>
      </c>
      <c r="W9" s="19">
        <f>SUM(Ledger[[#This Row],[Oct]:[Dec]])</f>
        <v>23286.52</v>
      </c>
      <c r="X9" s="22">
        <f>SUM(Ledger[[#This Row],[Q1]:[Q4]])</f>
        <v>86751.27</v>
      </c>
      <c r="Y9" s="5">
        <v>89400</v>
      </c>
      <c r="Z9" s="5">
        <f>Ledger[[#This Row],[FY Total]]-Ledger[[#This Row],[Budget]]</f>
        <v>-2648.7299999999959</v>
      </c>
      <c r="AA9" s="6">
        <f>IF(Ledger[[#This Row],[Budget]]=0,0,Ledger[[#This Row],[Variance]]/Ledger[[#This Row],[Budget]])</f>
        <v>-2.9627852348993244E-2</v>
      </c>
      <c r="AB9" s="4"/>
      <c r="AC9" s="4" t="s">
        <v>39</v>
      </c>
      <c r="AD9" s="7">
        <v>46006</v>
      </c>
      <c r="AE9" s="17" t="s">
        <v>64</v>
      </c>
    </row>
    <row r="10" spans="1:31" x14ac:dyDescent="0.35">
      <c r="A10" s="15" t="s">
        <v>65</v>
      </c>
      <c r="B10" s="10"/>
      <c r="C10" s="10"/>
      <c r="D10" s="10"/>
      <c r="E10" s="10"/>
      <c r="F10" s="10"/>
      <c r="G10" s="10"/>
      <c r="H10" s="11">
        <f>SUBTOTAL(109,Ledger[Jan])</f>
        <v>49836.600000000006</v>
      </c>
      <c r="I10" s="11">
        <f>SUBTOTAL(109,Ledger[Feb])</f>
        <v>42520.87</v>
      </c>
      <c r="J10" s="11">
        <f>SUBTOTAL(109,Ledger[Mar])</f>
        <v>41819.75</v>
      </c>
      <c r="K10" s="11">
        <f>SUBTOTAL(109,Ledger[Apr])</f>
        <v>49126.400000000009</v>
      </c>
      <c r="L10" s="11">
        <f>SUBTOTAL(109,Ledger[May])</f>
        <v>43186.64</v>
      </c>
      <c r="M10" s="11">
        <f>SUBTOTAL(109,Ledger[Jun])</f>
        <v>43326.57</v>
      </c>
      <c r="N10" s="11">
        <f>SUBTOTAL(109,Ledger[Jul])</f>
        <v>48715.850000000006</v>
      </c>
      <c r="O10" s="11">
        <f>SUBTOTAL(109,Ledger[Aug])</f>
        <v>45207.020000000004</v>
      </c>
      <c r="P10" s="11">
        <f>SUBTOTAL(109,Ledger[Sep])</f>
        <v>39734.76</v>
      </c>
      <c r="Q10" s="11">
        <f>SUBTOTAL(109,Ledger[Oct])</f>
        <v>48043.140000000007</v>
      </c>
      <c r="R10" s="11">
        <f>SUBTOTAL(109,Ledger[Nov])</f>
        <v>44695.75</v>
      </c>
      <c r="S10" s="11">
        <f>SUBTOTAL(109,Ledger[Dec])</f>
        <v>44335.21</v>
      </c>
      <c r="T10" s="20">
        <f>SUBTOTAL(109,Ledger[Q1])</f>
        <v>134177.22</v>
      </c>
      <c r="U10" s="20">
        <f>SUBTOTAL(109,Ledger[Q2])</f>
        <v>135639.61000000002</v>
      </c>
      <c r="V10" s="20">
        <f>SUBTOTAL(109,Ledger[Q3])</f>
        <v>133657.63</v>
      </c>
      <c r="W10" s="20">
        <f>SUBTOTAL(109,Ledger[Q4])</f>
        <v>137074.1</v>
      </c>
      <c r="X10" s="23">
        <f>SUBTOTAL(109,Ledger[FY Total])</f>
        <v>540548.56000000006</v>
      </c>
      <c r="Y10" s="11">
        <f>SUBTOTAL(109,Ledger[Budget])</f>
        <v>560700</v>
      </c>
      <c r="Z10" s="11">
        <f>SUBTOTAL(109,Ledger[Variance])</f>
        <v>-20151.440000000002</v>
      </c>
      <c r="AA10" s="12"/>
      <c r="AB10" s="10"/>
      <c r="AC10" s="10"/>
      <c r="AD10" s="10"/>
      <c r="AE10" s="18">
        <f>SUBTOTAL(103,Ledger[Notes])</f>
        <v>4</v>
      </c>
    </row>
  </sheetData>
  <pageMargins left="0.7" right="0.7" top="0.75" bottom="0.75" header="0.3" footer="0.3"/>
  <pageSetup scale="34" fitToHeight="0" orientation="landscape" r:id="rId1"/>
  <headerFooter>
    <oddFooter>&amp;CPage &amp;P of &amp;N</oddFooter>
  </headerFooter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DB5BE9DD-A93F-4298-BA1A-0C84314204B8}">
          <x14:colorSeries theme="4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C00000"/>
          <x14:sparklines>
            <x14:sparkline>
              <xm:f>GL!H5:S5</xm:f>
              <xm:sqref>AB5</xm:sqref>
            </x14:sparkline>
            <x14:sparkline>
              <xm:f>GL!H6:S6</xm:f>
              <xm:sqref>AB6</xm:sqref>
            </x14:sparkline>
            <x14:sparkline>
              <xm:f>GL!H7:S7</xm:f>
              <xm:sqref>AB7</xm:sqref>
            </x14:sparkline>
            <x14:sparkline>
              <xm:f>GL!H8:S8</xm:f>
              <xm:sqref>AB8</xm:sqref>
            </x14:sparkline>
            <x14:sparkline>
              <xm:f>GL!H9:S9</xm:f>
              <xm:sqref>AB9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GL</vt:lpstr>
      <vt:lpstr>GL!Print_Titles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2026-09-28T16:00:55Z</dcterms:created>
  <dcterms:modified xsi:type="dcterms:W3CDTF">2026-09-28T16:01:06Z</dcterms:modified>
</cp:coreProperties>
</file>