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issue-1-disclosure\"/>
    </mc:Choice>
  </mc:AlternateContent>
  <xr:revisionPtr revIDLastSave="0" documentId="8_{1F76793D-C9BD-4514-A06C-F5733AC5E53C}" xr6:coauthVersionLast="47" xr6:coauthVersionMax="47" xr10:uidLastSave="{00000000-0000-0000-0000-000000000000}"/>
  <bookViews>
    <workbookView xWindow="2240" yWindow="2470" windowWidth="28800" windowHeight="15910" xr2:uid="{C2694F99-26FB-44F9-BEAE-69885E58C6E4}"/>
  </bookViews>
  <sheets>
    <sheet name="Disclosure Table" sheetId="1" r:id="rId1"/>
    <sheet name="2026 C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2" l="1"/>
  <c r="G9" i="2"/>
  <c r="F9" i="2"/>
  <c r="G8" i="2"/>
  <c r="F8" i="2"/>
  <c r="G7" i="2"/>
  <c r="F7" i="2"/>
  <c r="G6" i="2"/>
  <c r="F6" i="2"/>
</calcChain>
</file>

<file path=xl/sharedStrings.xml><?xml version="1.0" encoding="utf-8"?>
<sst xmlns="http://schemas.openxmlformats.org/spreadsheetml/2006/main" count="101" uniqueCount="65">
  <si>
    <t>FY2026 Disclosure Statement</t>
  </si>
  <si>
    <t>Cost Accounting Standards Board Disclosure Statement - Part VIII</t>
  </si>
  <si>
    <t>Prepared from the cost accounting system</t>
  </si>
  <si>
    <t>Pool Reference</t>
  </si>
  <si>
    <t>Disclosure Reference</t>
  </si>
  <si>
    <t>Segment</t>
  </si>
  <si>
    <t>Base Code</t>
  </si>
  <si>
    <t>Disclosure Section</t>
  </si>
  <si>
    <t>D/S Reference</t>
  </si>
  <si>
    <t>Claim Pool Schedule</t>
  </si>
  <si>
    <t>Claim Base Schedule</t>
  </si>
  <si>
    <t>I</t>
  </si>
  <si>
    <t>SKF</t>
  </si>
  <si>
    <t>Cost Out</t>
  </si>
  <si>
    <t>In</t>
  </si>
  <si>
    <t>Out</t>
  </si>
  <si>
    <t>Fringe Pool</t>
  </si>
  <si>
    <t>Payroll Taxes</t>
  </si>
  <si>
    <t>Seg 2</t>
  </si>
  <si>
    <t>B101</t>
  </si>
  <si>
    <t>DS-1</t>
  </si>
  <si>
    <t>Sch H</t>
  </si>
  <si>
    <t>Sch I</t>
  </si>
  <si>
    <t>Seg 1</t>
  </si>
  <si>
    <t>B102</t>
  </si>
  <si>
    <t>DS-2</t>
  </si>
  <si>
    <t>B103</t>
  </si>
  <si>
    <t>DS-3</t>
  </si>
  <si>
    <t>Group Insurance</t>
  </si>
  <si>
    <t>B104</t>
  </si>
  <si>
    <t>DS-4</t>
  </si>
  <si>
    <t>B105</t>
  </si>
  <si>
    <t>DS-5</t>
  </si>
  <si>
    <t>Overhead Pool</t>
  </si>
  <si>
    <t>Facilities</t>
  </si>
  <si>
    <t>B106</t>
  </si>
  <si>
    <t>DS-6</t>
  </si>
  <si>
    <t>B107</t>
  </si>
  <si>
    <t>DS-7</t>
  </si>
  <si>
    <t>Indirect Labor</t>
  </si>
  <si>
    <t>B108</t>
  </si>
  <si>
    <t>DS-8</t>
  </si>
  <si>
    <t>B109</t>
  </si>
  <si>
    <t>DS-9</t>
  </si>
  <si>
    <t>B110</t>
  </si>
  <si>
    <t>DS-10</t>
  </si>
  <si>
    <t>Notes:</t>
  </si>
  <si>
    <t>1. Amounts are unaudited.</t>
  </si>
  <si>
    <t>2. See Part VIII instructions.</t>
  </si>
  <si>
    <t>2026 Cost Centers</t>
  </si>
  <si>
    <t>Cost Center</t>
  </si>
  <si>
    <t>Budget</t>
  </si>
  <si>
    <t>Actual</t>
  </si>
  <si>
    <t>From Disclosure</t>
  </si>
  <si>
    <t>Variance</t>
  </si>
  <si>
    <t>Owner</t>
  </si>
  <si>
    <t>CC-200</t>
  </si>
  <si>
    <t>Owner 0</t>
  </si>
  <si>
    <t>CC-201</t>
  </si>
  <si>
    <t>Owner 1</t>
  </si>
  <si>
    <t>CC-202</t>
  </si>
  <si>
    <t>Owner 2</t>
  </si>
  <si>
    <t>CC-203</t>
  </si>
  <si>
    <t>Owner 3</t>
  </si>
  <si>
    <t>Disclosure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</si>
</sst>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BDD9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wrapText="1"/>
    </xf>
    <xf numFmtId="4" fontId="0" fillId="0" borderId="0" xfId="0" applyNumberFormat="1"/>
    <xf numFmtId="0" fontId="1" fillId="3" borderId="1" xfId="0" applyFont="1" applyFill="1" applyBorder="1"/>
    <xf numFmtId="4" fontId="1" fillId="3" borderId="1" xfId="0" applyNumberFormat="1" applyFont="1" applyFill="1" applyBorder="1"/>
    <xf numFmtId="0" fontId="4" fillId="4" borderId="1" xfId="0" applyFont="1" applyFill="1" applyBorder="1"/>
    <xf numFmtId="4" fontId="4" fillId="4" borderId="1" xfId="0" applyNumberFormat="1" applyFont="1" applyFill="1" applyBorder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1</xdr:col>
      <xdr:colOff>730250</xdr:colOff>
      <xdr:row>32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E8757D-D01C-C8C1-E126-692BAC2F81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75350"/>
          <a:ext cx="203200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7632-88DD-4607-AB2F-F246C1D8B8A0}">
  <dimension ref="A1:M28"/>
  <sheetViews>
    <sheetView tabSelected="1" workbookViewId="0"/>
  </sheetViews>
  <sheetFormatPr defaultRowHeight="14.5" x14ac:dyDescent="0.35"/>
  <cols>
    <col min="1" max="1" width="18.6328125" customWidth="1"/>
    <col min="2" max="2" width="20.6328125" customWidth="1"/>
    <col min="3" max="13" width="11.6328125" customWidth="1"/>
  </cols>
  <sheetData>
    <row r="1" spans="1:13" ht="21" x14ac:dyDescent="0.5">
      <c r="A1" s="1" t="s">
        <v>0</v>
      </c>
    </row>
    <row r="2" spans="1:13" x14ac:dyDescent="0.35">
      <c r="A2" t="s">
        <v>1</v>
      </c>
    </row>
    <row r="4" spans="1:13" x14ac:dyDescent="0.35">
      <c r="A4" t="s">
        <v>2</v>
      </c>
    </row>
    <row r="6" spans="1:13" ht="58" x14ac:dyDescent="0.3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</row>
    <row r="7" spans="1:13" x14ac:dyDescent="0.35">
      <c r="A7" s="5" t="s">
        <v>16</v>
      </c>
      <c r="B7" s="5"/>
      <c r="C7" s="5"/>
      <c r="D7" s="5"/>
      <c r="E7" s="5"/>
      <c r="F7" s="5"/>
      <c r="G7" s="5"/>
      <c r="H7" s="5"/>
      <c r="I7" s="5"/>
      <c r="J7" s="5"/>
      <c r="K7" s="6"/>
      <c r="L7" s="5"/>
      <c r="M7" s="5"/>
    </row>
    <row r="8" spans="1:13" x14ac:dyDescent="0.35">
      <c r="A8" s="7"/>
      <c r="B8" s="7" t="s">
        <v>17</v>
      </c>
      <c r="C8" s="7"/>
      <c r="D8" s="7"/>
      <c r="E8" s="7"/>
      <c r="F8" s="7"/>
      <c r="G8" s="7"/>
      <c r="H8" s="7"/>
      <c r="I8" s="7"/>
      <c r="J8" s="7"/>
      <c r="K8" s="8"/>
      <c r="L8" s="7"/>
      <c r="M8" s="7"/>
    </row>
    <row r="9" spans="1:13" x14ac:dyDescent="0.35">
      <c r="A9" s="9"/>
      <c r="B9" s="9"/>
      <c r="C9" s="9" t="s">
        <v>18</v>
      </c>
      <c r="D9" s="9" t="s">
        <v>19</v>
      </c>
      <c r="E9" s="9">
        <v>8.1</v>
      </c>
      <c r="F9" s="9" t="s">
        <v>20</v>
      </c>
      <c r="G9" s="9" t="s">
        <v>21</v>
      </c>
      <c r="H9" s="9" t="s">
        <v>22</v>
      </c>
      <c r="I9" s="9"/>
      <c r="J9" s="9"/>
      <c r="K9" s="10">
        <v>1000.5</v>
      </c>
      <c r="L9" s="9"/>
      <c r="M9" s="9"/>
    </row>
    <row r="10" spans="1:13" x14ac:dyDescent="0.35">
      <c r="A10" s="9"/>
      <c r="B10" s="9"/>
      <c r="C10" s="9" t="s">
        <v>23</v>
      </c>
      <c r="D10" s="9" t="s">
        <v>24</v>
      </c>
      <c r="E10" s="9">
        <v>8.1999999999999993</v>
      </c>
      <c r="F10" s="9" t="s">
        <v>25</v>
      </c>
      <c r="G10" s="9" t="s">
        <v>21</v>
      </c>
      <c r="H10" s="9" t="s">
        <v>22</v>
      </c>
      <c r="I10" s="9"/>
      <c r="J10" s="9"/>
      <c r="K10" s="10">
        <v>2000.5</v>
      </c>
      <c r="L10" s="9"/>
      <c r="M10" s="9"/>
    </row>
    <row r="11" spans="1:13" x14ac:dyDescent="0.35">
      <c r="A11" s="9"/>
      <c r="B11" s="9"/>
      <c r="C11" s="9" t="s">
        <v>18</v>
      </c>
      <c r="D11" s="9" t="s">
        <v>26</v>
      </c>
      <c r="E11" s="9">
        <v>8.3000000000000007</v>
      </c>
      <c r="F11" s="9" t="s">
        <v>27</v>
      </c>
      <c r="G11" s="9" t="s">
        <v>21</v>
      </c>
      <c r="H11" s="9" t="s">
        <v>22</v>
      </c>
      <c r="I11" s="9"/>
      <c r="J11" s="9"/>
      <c r="K11" s="10">
        <v>3000.5</v>
      </c>
      <c r="L11" s="9"/>
      <c r="M11" s="9"/>
    </row>
    <row r="12" spans="1:13" x14ac:dyDescent="0.35">
      <c r="A12" s="7"/>
      <c r="B12" s="7" t="s">
        <v>28</v>
      </c>
      <c r="C12" s="7"/>
      <c r="D12" s="7"/>
      <c r="E12" s="7"/>
      <c r="F12" s="7"/>
      <c r="G12" s="7"/>
      <c r="H12" s="7"/>
      <c r="I12" s="7"/>
      <c r="J12" s="7"/>
      <c r="K12" s="8"/>
      <c r="L12" s="7"/>
      <c r="M12" s="7"/>
    </row>
    <row r="13" spans="1:13" x14ac:dyDescent="0.35">
      <c r="A13" s="9"/>
      <c r="B13" s="9"/>
      <c r="C13" s="9" t="s">
        <v>23</v>
      </c>
      <c r="D13" s="9" t="s">
        <v>29</v>
      </c>
      <c r="E13" s="9">
        <v>8.4</v>
      </c>
      <c r="F13" s="9" t="s">
        <v>30</v>
      </c>
      <c r="G13" s="9" t="s">
        <v>21</v>
      </c>
      <c r="H13" s="9" t="s">
        <v>22</v>
      </c>
      <c r="I13" s="9"/>
      <c r="J13" s="9"/>
      <c r="K13" s="10">
        <v>4000.5</v>
      </c>
      <c r="L13" s="9"/>
      <c r="M13" s="9"/>
    </row>
    <row r="14" spans="1:13" x14ac:dyDescent="0.35">
      <c r="A14" s="9"/>
      <c r="B14" s="9"/>
      <c r="C14" s="9" t="s">
        <v>18</v>
      </c>
      <c r="D14" s="9" t="s">
        <v>31</v>
      </c>
      <c r="E14" s="9">
        <v>8.5</v>
      </c>
      <c r="F14" s="9" t="s">
        <v>32</v>
      </c>
      <c r="G14" s="9" t="s">
        <v>21</v>
      </c>
      <c r="H14" s="9" t="s">
        <v>22</v>
      </c>
      <c r="I14" s="9"/>
      <c r="J14" s="9"/>
      <c r="K14" s="10">
        <v>5000.5</v>
      </c>
      <c r="L14" s="9"/>
      <c r="M14" s="9"/>
    </row>
    <row r="15" spans="1:13" x14ac:dyDescent="0.35">
      <c r="A15" s="5" t="s">
        <v>33</v>
      </c>
      <c r="B15" s="5"/>
      <c r="C15" s="5"/>
      <c r="D15" s="5"/>
      <c r="E15" s="5"/>
      <c r="F15" s="5"/>
      <c r="G15" s="5"/>
      <c r="H15" s="5"/>
      <c r="I15" s="5"/>
      <c r="J15" s="5"/>
      <c r="K15" s="6"/>
      <c r="L15" s="5"/>
      <c r="M15" s="5"/>
    </row>
    <row r="16" spans="1:13" x14ac:dyDescent="0.35">
      <c r="A16" s="7"/>
      <c r="B16" s="7" t="s">
        <v>34</v>
      </c>
      <c r="C16" s="7"/>
      <c r="D16" s="7"/>
      <c r="E16" s="7"/>
      <c r="F16" s="7"/>
      <c r="G16" s="7"/>
      <c r="H16" s="7"/>
      <c r="I16" s="7"/>
      <c r="J16" s="7"/>
      <c r="K16" s="8"/>
      <c r="L16" s="7"/>
      <c r="M16" s="7"/>
    </row>
    <row r="17" spans="1:13" x14ac:dyDescent="0.35">
      <c r="A17" s="9"/>
      <c r="B17" s="9"/>
      <c r="C17" s="9" t="s">
        <v>23</v>
      </c>
      <c r="D17" s="9" t="s">
        <v>35</v>
      </c>
      <c r="E17" s="9">
        <v>8.6</v>
      </c>
      <c r="F17" s="9" t="s">
        <v>36</v>
      </c>
      <c r="G17" s="9" t="s">
        <v>21</v>
      </c>
      <c r="H17" s="9" t="s">
        <v>22</v>
      </c>
      <c r="I17" s="9"/>
      <c r="J17" s="9"/>
      <c r="K17" s="10">
        <v>6000.5</v>
      </c>
      <c r="L17" s="9"/>
      <c r="M17" s="9"/>
    </row>
    <row r="18" spans="1:13" x14ac:dyDescent="0.35">
      <c r="A18" s="9"/>
      <c r="B18" s="9"/>
      <c r="C18" s="9" t="s">
        <v>18</v>
      </c>
      <c r="D18" s="9" t="s">
        <v>37</v>
      </c>
      <c r="E18" s="9">
        <v>8.6999999999999993</v>
      </c>
      <c r="F18" s="9" t="s">
        <v>38</v>
      </c>
      <c r="G18" s="9" t="s">
        <v>21</v>
      </c>
      <c r="H18" s="9" t="s">
        <v>22</v>
      </c>
      <c r="I18" s="9"/>
      <c r="J18" s="9"/>
      <c r="K18" s="10">
        <v>7000.5</v>
      </c>
      <c r="L18" s="9"/>
      <c r="M18" s="9"/>
    </row>
    <row r="19" spans="1:13" x14ac:dyDescent="0.35">
      <c r="A19" s="7"/>
      <c r="B19" s="7" t="s">
        <v>39</v>
      </c>
      <c r="C19" s="7"/>
      <c r="D19" s="7"/>
      <c r="E19" s="7"/>
      <c r="F19" s="7"/>
      <c r="G19" s="7"/>
      <c r="H19" s="7"/>
      <c r="I19" s="7"/>
      <c r="J19" s="7"/>
      <c r="K19" s="8"/>
      <c r="L19" s="7"/>
      <c r="M19" s="7"/>
    </row>
    <row r="20" spans="1:13" x14ac:dyDescent="0.35">
      <c r="A20" s="9"/>
      <c r="B20" s="9"/>
      <c r="C20" s="9" t="s">
        <v>23</v>
      </c>
      <c r="D20" s="9" t="s">
        <v>40</v>
      </c>
      <c r="E20" s="9">
        <v>8.8000000000000007</v>
      </c>
      <c r="F20" s="9" t="s">
        <v>41</v>
      </c>
      <c r="G20" s="9" t="s">
        <v>21</v>
      </c>
      <c r="H20" s="9" t="s">
        <v>22</v>
      </c>
      <c r="I20" s="9"/>
      <c r="J20" s="9"/>
      <c r="K20" s="10">
        <v>8000.5</v>
      </c>
      <c r="L20" s="9"/>
      <c r="M20" s="9"/>
    </row>
    <row r="21" spans="1:13" x14ac:dyDescent="0.35">
      <c r="A21" s="9"/>
      <c r="B21" s="9"/>
      <c r="C21" s="9" t="s">
        <v>18</v>
      </c>
      <c r="D21" s="9" t="s">
        <v>42</v>
      </c>
      <c r="E21" s="9">
        <v>8.9</v>
      </c>
      <c r="F21" s="9" t="s">
        <v>43</v>
      </c>
      <c r="G21" s="9" t="s">
        <v>21</v>
      </c>
      <c r="H21" s="9" t="s">
        <v>22</v>
      </c>
      <c r="I21" s="9"/>
      <c r="J21" s="9"/>
      <c r="K21" s="10">
        <v>9000.5</v>
      </c>
      <c r="L21" s="9"/>
      <c r="M21" s="9"/>
    </row>
    <row r="22" spans="1:13" x14ac:dyDescent="0.35">
      <c r="A22" s="9"/>
      <c r="B22" s="9"/>
      <c r="C22" s="9" t="s">
        <v>23</v>
      </c>
      <c r="D22" s="9" t="s">
        <v>44</v>
      </c>
      <c r="E22" s="9">
        <v>8.1</v>
      </c>
      <c r="F22" s="9" t="s">
        <v>45</v>
      </c>
      <c r="G22" s="9" t="s">
        <v>21</v>
      </c>
      <c r="H22" s="9" t="s">
        <v>22</v>
      </c>
      <c r="I22" s="9"/>
      <c r="J22" s="9"/>
      <c r="K22" s="10">
        <v>10000.5</v>
      </c>
      <c r="L22" s="9"/>
      <c r="M22" s="9"/>
    </row>
    <row r="26" spans="1:13" x14ac:dyDescent="0.35">
      <c r="A26" s="2" t="s">
        <v>46</v>
      </c>
    </row>
    <row r="27" spans="1:13" x14ac:dyDescent="0.35">
      <c r="A27" t="s">
        <v>47</v>
      </c>
    </row>
    <row r="28" spans="1:13" x14ac:dyDescent="0.35">
      <c r="A28" t="s">
        <v>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CB9B-8ADE-4726-8825-336E08C0DC21}">
  <dimension ref="A1:H11"/>
  <sheetViews>
    <sheetView workbookViewId="0"/>
  </sheetViews>
  <sheetFormatPr defaultRowHeight="14.5" x14ac:dyDescent="0.35"/>
  <cols>
    <col min="4" max="5" width="8.81640625" bestFit="1" customWidth="1"/>
    <col min="6" max="6" width="8.90625" bestFit="1" customWidth="1"/>
    <col min="7" max="7" width="8.81640625" bestFit="1" customWidth="1"/>
  </cols>
  <sheetData>
    <row r="1" spans="1:8" x14ac:dyDescent="0.35">
      <c r="A1" s="2" t="s">
        <v>49</v>
      </c>
    </row>
    <row r="5" spans="1:8" x14ac:dyDescent="0.35">
      <c r="A5" s="2" t="s">
        <v>50</v>
      </c>
      <c r="B5" s="2" t="s">
        <v>5</v>
      </c>
      <c r="C5" s="2" t="s">
        <v>6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</row>
    <row r="6" spans="1:8" x14ac:dyDescent="0.35">
      <c r="A6" t="s">
        <v>56</v>
      </c>
      <c r="B6" t="s">
        <v>23</v>
      </c>
      <c r="C6" t="s">
        <v>19</v>
      </c>
      <c r="D6" s="4">
        <v>5000</v>
      </c>
      <c r="E6" s="4">
        <v>4800</v>
      </c>
      <c r="F6" s="4">
        <f>SUMIF('Disclosure Table'!$D:$D,C6,'Disclosure Table'!$K:$K)</f>
        <v>1000.5</v>
      </c>
      <c r="G6" s="4">
        <f>E6-D6</f>
        <v>-200</v>
      </c>
      <c r="H6" t="s">
        <v>57</v>
      </c>
    </row>
    <row r="7" spans="1:8" x14ac:dyDescent="0.35">
      <c r="A7" t="s">
        <v>58</v>
      </c>
      <c r="B7" t="s">
        <v>18</v>
      </c>
      <c r="C7" t="s">
        <v>24</v>
      </c>
      <c r="D7" s="4">
        <v>5100</v>
      </c>
      <c r="E7" s="4">
        <v>4950</v>
      </c>
      <c r="F7" s="4">
        <f>SUMIF('Disclosure Table'!$D:$D,C7,'Disclosure Table'!$K:$K)</f>
        <v>2000.5</v>
      </c>
      <c r="G7" s="4">
        <f>E7-D7</f>
        <v>-150</v>
      </c>
      <c r="H7" t="s">
        <v>59</v>
      </c>
    </row>
    <row r="8" spans="1:8" x14ac:dyDescent="0.35">
      <c r="A8" t="s">
        <v>60</v>
      </c>
      <c r="B8" t="s">
        <v>23</v>
      </c>
      <c r="C8" t="s">
        <v>26</v>
      </c>
      <c r="D8" s="4">
        <v>5200</v>
      </c>
      <c r="E8" s="4">
        <v>5100</v>
      </c>
      <c r="F8" s="4">
        <f>SUMIF('Disclosure Table'!$D:$D,C8,'Disclosure Table'!$K:$K)</f>
        <v>3000.5</v>
      </c>
      <c r="G8" s="4">
        <f>E8-D8</f>
        <v>-100</v>
      </c>
      <c r="H8" t="s">
        <v>61</v>
      </c>
    </row>
    <row r="9" spans="1:8" x14ac:dyDescent="0.35">
      <c r="A9" t="s">
        <v>62</v>
      </c>
      <c r="B9" t="s">
        <v>18</v>
      </c>
      <c r="C9" t="s">
        <v>29</v>
      </c>
      <c r="D9" s="4">
        <v>5300</v>
      </c>
      <c r="E9" s="4">
        <v>5250</v>
      </c>
      <c r="F9" s="4">
        <f>SUMIF('Disclosure Table'!$D:$D,C9,'Disclosure Table'!$K:$K)</f>
        <v>4000.5</v>
      </c>
      <c r="G9" s="4">
        <f>E9-D9</f>
        <v>-50</v>
      </c>
      <c r="H9" t="s">
        <v>63</v>
      </c>
    </row>
    <row r="10" spans="1:8" x14ac:dyDescent="0.35">
      <c r="D10" s="4"/>
      <c r="E10" s="4"/>
      <c r="F10" s="4"/>
      <c r="G10" s="4"/>
    </row>
    <row r="11" spans="1:8" x14ac:dyDescent="0.35">
      <c r="A11" t="s">
        <v>64</v>
      </c>
      <c r="D11" s="4"/>
      <c r="E11" s="4"/>
      <c r="F11" s="4">
        <f>SUM('Disclosure Table'!K7:K22)</f>
        <v>55005</v>
      </c>
      <c r="G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Disclosure Table</vt:lpstr>
      <vt:lpstr>2026 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2026-09-28T17:48:41Z</dcterms:created>
  <dcterms:modified xsi:type="dcterms:W3CDTF">2026-09-28T17:48:42Z</dcterms:modified>
</cp:coreProperties>
</file>