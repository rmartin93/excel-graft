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dynamic-arrays\"/>
    </mc:Choice>
  </mc:AlternateContent>
  <xr:revisionPtr revIDLastSave="0" documentId="8_{F2428409-D777-487C-9078-4EE533561C7C}" xr6:coauthVersionLast="47" xr6:coauthVersionMax="47" xr10:uidLastSave="{00000000-0000-0000-0000-000000000000}"/>
  <bookViews>
    <workbookView xWindow="2240" yWindow="2470" windowWidth="28800" windowHeight="15910" xr2:uid="{F2E0B19A-E4D3-4E52-B710-F13ACF876AE1}"/>
  </bookViews>
  <sheets>
    <sheet name="Products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" i="2" l="1" a="1"/>
  <c r="A13" i="2" s="1"/>
  <c r="I8" i="2"/>
  <c r="I6" i="2"/>
  <c r="I4" i="2"/>
  <c r="C4" i="2" a="1"/>
  <c r="C4" i="2" s="1"/>
  <c r="A4" i="2" a="1"/>
  <c r="A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<sst xmlns="http://schemas.openxmlformats.org/spreadsheetml/2006/main" count="31" uniqueCount="28">
  <si>
    <t>SKU</t>
  </si>
  <si>
    <t>Name</t>
  </si>
  <si>
    <t>Category</t>
  </si>
  <si>
    <t>Price</t>
  </si>
  <si>
    <t>Stock</t>
  </si>
  <si>
    <t>SKU-1001</t>
  </si>
  <si>
    <t>Trail Runner 2</t>
  </si>
  <si>
    <t>Footwear</t>
  </si>
  <si>
    <t>SKU-1002</t>
  </si>
  <si>
    <t>Summit Jacket</t>
  </si>
  <si>
    <t>Outerwear</t>
  </si>
  <si>
    <t>SKU-1003</t>
  </si>
  <si>
    <t>Merino Base Layer</t>
  </si>
  <si>
    <t>Apparel</t>
  </si>
  <si>
    <t>SKU-1004</t>
  </si>
  <si>
    <t>Alpine Pack 38L</t>
  </si>
  <si>
    <t>Gear</t>
  </si>
  <si>
    <t>SKU-1005</t>
  </si>
  <si>
    <t>Rain Shell</t>
  </si>
  <si>
    <t>SKU-1006</t>
  </si>
  <si>
    <t>Camp Sandal</t>
  </si>
  <si>
    <t>Product Analysis (dynamic arrays)</t>
  </si>
  <si>
    <t>Category count (A4#)</t>
  </si>
  <si>
    <t>Price lookup (XLOOKUP)</t>
  </si>
  <si>
    <t>All products by price, desc (SORT over A1 range Products!A2:E7)</t>
  </si>
  <si>
    <t>Low stock &lt; 20 (FILTER)</t>
  </si>
  <si>
    <t>Categories (SORT/UNIQUE)</t>
  </si>
  <si>
    <t>Inventory value (LET)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</si>
</sst>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(&quot;$&quot;#,##0.00\)"/>
  </numFmts>
  <fonts count="3" x14ac:knownFonts="1">
    <font>
      <sz val="11"/>
      <color theme="1"/>
      <name val="Century Gothic"/>
      <family val="2"/>
      <scheme val="minor"/>
    </font>
    <font>
      <b/>
      <sz val="18"/>
      <color theme="4" tint="-0.249977111117893"/>
      <name val="Century Gothic"/>
      <family val="2"/>
      <scheme val="major"/>
    </font>
    <font>
      <b/>
      <sz val="11"/>
      <color theme="4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2">
    <dxf>
      <numFmt numFmtId="3" formatCode="#,##0"/>
    </dxf>
    <dxf>
      <numFmt numFmtId="164" formatCode="&quot;$&quot;#,##0.00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8B7FC-EEBA-46DB-9748-50B611AE67F8}" name="Products" displayName="Products" ref="A1:E7" totalsRowShown="0">
  <autoFilter ref="A1:E7" xr:uid="{88A8B7FC-EEBA-46DB-9748-50B611AE67F8}"/>
  <tableColumns count="5">
    <tableColumn id="1" xr3:uid="{8D577A2E-E994-4DFC-99D3-6CECB41247F3}" name="SKU"/>
    <tableColumn id="2" xr3:uid="{5E19CBBC-1ED8-424F-9765-E353793CD408}" name="Name"/>
    <tableColumn id="3" xr3:uid="{A44012DA-00C2-46D3-9C02-EEA0CBA7FFB2}" name="Category"/>
    <tableColumn id="4" xr3:uid="{5814426F-A75F-4A43-8CA4-5FD1EE7CD6E3}" name="Price" dataDxfId="1"/>
    <tableColumn id="5" xr3:uid="{728326D8-2B11-44F9-97EC-D8AD8383A282}" name="Stock" dataDxfId="0"/>
  </tableColumns>
  <tableStyleInfo name="TableStyleMedium6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32FD-EA54-417C-B3D5-81DB45CC1D4B}">
  <dimension ref="A1:E7"/>
  <sheetViews>
    <sheetView tabSelected="1" workbookViewId="0"/>
  </sheetViews>
  <sheetFormatPr defaultRowHeight="13.5" x14ac:dyDescent="0.25"/>
  <cols>
    <col min="1" max="1" width="11.58203125" customWidth="1"/>
    <col min="2" max="2" width="22.58203125" customWidth="1"/>
    <col min="3" max="3" width="13.58203125" customWidth="1"/>
    <col min="4" max="4" width="11.58203125" customWidth="1"/>
    <col min="5" max="5" width="9.58203125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129</v>
      </c>
      <c r="E2" s="2">
        <v>42</v>
      </c>
    </row>
    <row r="3" spans="1:5" x14ac:dyDescent="0.25">
      <c r="A3" t="s">
        <v>8</v>
      </c>
      <c r="B3" t="s">
        <v>9</v>
      </c>
      <c r="C3" t="s">
        <v>10</v>
      </c>
      <c r="D3" s="1">
        <v>249.5</v>
      </c>
      <c r="E3" s="2">
        <v>8</v>
      </c>
    </row>
    <row r="4" spans="1:5" x14ac:dyDescent="0.25">
      <c r="A4" t="s">
        <v>11</v>
      </c>
      <c r="B4" t="s">
        <v>12</v>
      </c>
      <c r="C4" t="s">
        <v>13</v>
      </c>
      <c r="D4" s="1">
        <v>89.95</v>
      </c>
      <c r="E4" s="2">
        <v>65</v>
      </c>
    </row>
    <row r="5" spans="1:5" x14ac:dyDescent="0.25">
      <c r="A5" t="s">
        <v>14</v>
      </c>
      <c r="B5" t="s">
        <v>15</v>
      </c>
      <c r="C5" t="s">
        <v>16</v>
      </c>
      <c r="D5" s="1">
        <v>179</v>
      </c>
      <c r="E5" s="2">
        <v>12</v>
      </c>
    </row>
    <row r="6" spans="1:5" x14ac:dyDescent="0.25">
      <c r="A6" t="s">
        <v>17</v>
      </c>
      <c r="B6" t="s">
        <v>18</v>
      </c>
      <c r="C6" t="s">
        <v>10</v>
      </c>
      <c r="D6" s="1">
        <v>159</v>
      </c>
      <c r="E6" s="2">
        <v>5</v>
      </c>
    </row>
    <row r="7" spans="1:5" x14ac:dyDescent="0.25">
      <c r="A7" t="s">
        <v>19</v>
      </c>
      <c r="B7" t="s">
        <v>20</v>
      </c>
      <c r="C7" t="s">
        <v>7</v>
      </c>
      <c r="D7" s="1">
        <v>59</v>
      </c>
      <c r="E7" s="2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18CD-97FF-4A44-9AFB-17EE744785D1}">
  <dimension ref="A1:I20"/>
  <sheetViews>
    <sheetView showGridLines="0" workbookViewId="0"/>
  </sheetViews>
  <sheetFormatPr defaultRowHeight="13.5" x14ac:dyDescent="0.25"/>
  <cols>
    <col min="1" max="1" width="14.58203125" customWidth="1"/>
    <col min="2" max="3" width="20.58203125" customWidth="1"/>
    <col min="4" max="4" width="12.58203125" customWidth="1"/>
    <col min="5" max="5" width="11.58203125" customWidth="1"/>
    <col min="6" max="6" width="8.58203125" customWidth="1"/>
    <col min="7" max="7" width="3.58203125" customWidth="1"/>
    <col min="8" max="8" width="24.58203125" customWidth="1"/>
    <col min="9" max="9" width="14.58203125" customWidth="1"/>
  </cols>
  <sheetData>
    <row r="1" spans="1:9" ht="22.5" x14ac:dyDescent="0.45">
      <c r="A1" s="3" t="s">
        <v>21</v>
      </c>
    </row>
    <row r="3" spans="1:9" ht="14" x14ac:dyDescent="0.3">
      <c r="A3" s="4" t="s">
        <v>26</v>
      </c>
      <c r="C3" s="4" t="s">
        <v>25</v>
      </c>
      <c r="H3" s="4" t="s">
        <v>23</v>
      </c>
    </row>
    <row r="4" spans="1:9" x14ac:dyDescent="0.25">
      <c r="A4" t="str" cm="1">
        <f t="array" ref="A4:A7">_xlfn._xlws.SORT(_xlfn.UNIQUE(Products[Category]))</f>
        <v>Apparel</v>
      </c>
      <c r="C4" t="str" cm="1">
        <f t="array" ref="C4:F6">_xlfn._xlws.FILTER(Products[[Name]:[Stock]],Products[Stock]&lt;20,"None")</f>
        <v>Summit Jacket</v>
      </c>
      <c r="D4" t="str">
        <v>Outerwear</v>
      </c>
      <c r="E4" s="1">
        <v>249.5</v>
      </c>
      <c r="F4">
        <v>8</v>
      </c>
      <c r="H4" s="5" t="s">
        <v>11</v>
      </c>
      <c r="I4" s="1">
        <f>_xlfn.XLOOKUP(H4,Products[SKU],Products[Price],"Not found")</f>
        <v>89.95</v>
      </c>
    </row>
    <row r="5" spans="1:9" x14ac:dyDescent="0.25">
      <c r="A5" t="str">
        <v>Footwear</v>
      </c>
      <c r="C5" t="str">
        <v>Alpine Pack 38L</v>
      </c>
      <c r="D5" t="str">
        <v>Gear</v>
      </c>
      <c r="E5" s="1">
        <v>179</v>
      </c>
      <c r="F5">
        <v>12</v>
      </c>
    </row>
    <row r="6" spans="1:9" ht="14" x14ac:dyDescent="0.3">
      <c r="A6" t="str">
        <v>Gear</v>
      </c>
      <c r="C6" t="str">
        <v>Rain Shell</v>
      </c>
      <c r="D6" t="str">
        <v>Outerwear</v>
      </c>
      <c r="E6" s="1">
        <v>159</v>
      </c>
      <c r="F6">
        <v>5</v>
      </c>
      <c r="H6" s="4" t="s">
        <v>27</v>
      </c>
      <c r="I6" s="1">
        <f>_xlfn.LET(_xlpm.p,Products[Price],_xlpm.q,Products[Stock],SUMPRODUCT(_xlpm.p,_xlpm.q))</f>
        <v>23283.75</v>
      </c>
    </row>
    <row r="7" spans="1:9" x14ac:dyDescent="0.25">
      <c r="A7" t="str">
        <v>Outerwear</v>
      </c>
      <c r="E7" s="1"/>
    </row>
    <row r="8" spans="1:9" ht="14" x14ac:dyDescent="0.3">
      <c r="E8" s="1"/>
      <c r="H8" s="4" t="s">
        <v>22</v>
      </c>
      <c r="I8">
        <f>ROWS(_xlfn.ANCHORARRAY(A4))</f>
        <v>4</v>
      </c>
    </row>
    <row r="9" spans="1:9" x14ac:dyDescent="0.25">
      <c r="E9" s="1"/>
    </row>
    <row r="10" spans="1:9" x14ac:dyDescent="0.25">
      <c r="E10" s="1"/>
    </row>
    <row r="12" spans="1:9" ht="14" x14ac:dyDescent="0.3">
      <c r="A12" s="4" t="s">
        <v>24</v>
      </c>
    </row>
    <row r="13" spans="1:9" x14ac:dyDescent="0.25">
      <c r="A13" t="str" cm="1">
        <f t="array" ref="A13:E18">_xlfn._xlws.SORT(Products!A2:E7,4,-1)</f>
        <v>SKU-1002</v>
      </c>
      <c r="B13" t="str">
        <v>Summit Jacket</v>
      </c>
      <c r="C13" t="str">
        <v>Outerwear</v>
      </c>
      <c r="D13" s="1">
        <v>249.5</v>
      </c>
      <c r="E13">
        <v>8</v>
      </c>
    </row>
    <row r="14" spans="1:9" x14ac:dyDescent="0.25">
      <c r="A14" t="str">
        <v>SKU-1004</v>
      </c>
      <c r="B14" t="str">
        <v>Alpine Pack 38L</v>
      </c>
      <c r="C14" t="str">
        <v>Gear</v>
      </c>
      <c r="D14" s="1">
        <v>179</v>
      </c>
      <c r="E14">
        <v>12</v>
      </c>
    </row>
    <row r="15" spans="1:9" x14ac:dyDescent="0.25">
      <c r="A15" t="str">
        <v>SKU-1005</v>
      </c>
      <c r="B15" t="str">
        <v>Rain Shell</v>
      </c>
      <c r="C15" t="str">
        <v>Outerwear</v>
      </c>
      <c r="D15" s="1">
        <v>159</v>
      </c>
      <c r="E15">
        <v>5</v>
      </c>
    </row>
    <row r="16" spans="1:9" x14ac:dyDescent="0.25">
      <c r="A16" t="str">
        <v>SKU-1001</v>
      </c>
      <c r="B16" t="str">
        <v>Trail Runner 2</v>
      </c>
      <c r="C16" t="str">
        <v>Footwear</v>
      </c>
      <c r="D16" s="1">
        <v>129</v>
      </c>
      <c r="E16">
        <v>42</v>
      </c>
    </row>
    <row r="17" spans="1:5" x14ac:dyDescent="0.25">
      <c r="A17" t="str">
        <v>SKU-1003</v>
      </c>
      <c r="B17" t="str">
        <v>Merino Base Layer</v>
      </c>
      <c r="C17" t="str">
        <v>Apparel</v>
      </c>
      <c r="D17" s="1">
        <v>89.95</v>
      </c>
      <c r="E17">
        <v>65</v>
      </c>
    </row>
    <row r="18" spans="1:5" x14ac:dyDescent="0.25">
      <c r="A18" t="str">
        <v>SKU-1006</v>
      </c>
      <c r="B18" t="str">
        <v>Camp Sandal</v>
      </c>
      <c r="C18" t="str">
        <v>Footwear</v>
      </c>
      <c r="D18" s="1">
        <v>59</v>
      </c>
      <c r="E18">
        <v>120</v>
      </c>
    </row>
    <row r="19" spans="1:5" x14ac:dyDescent="0.25">
      <c r="D19" s="1"/>
    </row>
    <row r="20" spans="1:5" x14ac:dyDescent="0.25">
      <c r="D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2026-09-28T16:01:10Z</dcterms:created>
  <dcterms:modified xsi:type="dcterms:W3CDTF">2026-09-28T16:01:12Z</dcterms:modified>
</cp:coreProperties>
</file>