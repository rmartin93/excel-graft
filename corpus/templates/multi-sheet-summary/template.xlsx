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oxtr\LocalTools\excel-graft\corpus\templates\multi-sheet-summary\"/>
    </mc:Choice>
  </mc:AlternateContent>
  <xr:revisionPtr revIDLastSave="0" documentId="8_{6754400F-9F4A-4304-8C05-14F5B666C4D9}" xr6:coauthVersionLast="47" xr6:coauthVersionMax="47" xr10:uidLastSave="{00000000-0000-0000-0000-000000000000}"/>
  <bookViews>
    <workbookView xWindow="2240" yWindow="2470" windowWidth="28800" windowHeight="15910" xr2:uid="{7960DBB6-235F-4FFE-B67E-2A887B425940}"/>
  </bookViews>
  <sheets>
    <sheet name="Summary" sheetId="1" r:id="rId1"/>
    <sheet name="Data" sheetId="2" r:id="rId2"/>
    <sheet name="Pivot" sheetId="3" r:id="rId3"/>
    <sheet name="Lookups" sheetId="4" state="hidden" r:id="rId4"/>
  </sheets>
  <definedNames>
    <definedName name="RegionList">Lookups!$A$2:$A$5</definedName>
    <definedName name="Slicer_Region">#N/A</definedName>
  </definedNames>
  <calcPr calcId="191029"/>
  <pivotCaches>
    <pivotCache cacheId="4"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5" i="1" l="1"/>
  <c r="B14" i="1"/>
  <c r="B13" i="1"/>
  <c r="B12" i="1"/>
  <c r="C5" i="1"/>
  <c r="C6" i="1"/>
  <c r="C7" i="1"/>
  <c r="C8" i="1"/>
  <c r="B5" i="1"/>
  <c r="B9" i="1" s="1"/>
  <c r="B6" i="1"/>
  <c r="B7" i="1"/>
  <c r="B8" i="1"/>
  <c r="C9" i="1"/>
  <c r="A2" i="1"/>
</calcChain>
</file>

<file path=xl/sharedStrings.xml><?xml version="1.0" encoding="utf-8"?>
<sst xmlns="http://schemas.openxmlformats.org/spreadsheetml/2006/main" count="50" uniqueCount="28">
  <si>
    <t>Regions</t>
  </si>
  <si>
    <t>North</t>
  </si>
  <si>
    <t>South</t>
  </si>
  <si>
    <t>East</t>
  </si>
  <si>
    <t>West</t>
  </si>
  <si>
    <t>Region</t>
  </si>
  <si>
    <t>Rep</t>
  </si>
  <si>
    <t>Month</t>
  </si>
  <si>
    <t>Revenue</t>
  </si>
  <si>
    <t>Hannah Brooks</t>
  </si>
  <si>
    <t>Luis Ortega</t>
  </si>
  <si>
    <t>Mei Lin</t>
  </si>
  <si>
    <t>Sam Carter</t>
  </si>
  <si>
    <t>Regional Sales Summary</t>
  </si>
  <si>
    <t>Share</t>
  </si>
  <si>
    <t>Total</t>
  </si>
  <si>
    <t>Cross-sheet checks</t>
  </si>
  <si>
    <t>Second sample revenue (=Data!D3)</t>
  </si>
  <si>
    <t>All sample revenue (=SUM(Data!D2:D6))</t>
  </si>
  <si>
    <t>Structured total (=SUM(Sales[Revenue]))</t>
  </si>
  <si>
    <t>Row count (=ROWS(Sales))</t>
  </si>
  <si>
    <t>Grand Total</t>
  </si>
  <si>
    <t>Total Revenue</t>
  </si>
  <si>
    <t>East Total</t>
  </si>
  <si>
    <t>North Total</t>
  </si>
  <si>
    <t>South Total</t>
  </si>
  <si>
    <t>West Total</t>
  </si>
  <si>
    <t>Revenue by region and rep (refresh after render)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</si>
</sst>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mm\ yyyy"/>
    <numFmt numFmtId="165" formatCode="0.0%"/>
  </numFmts>
  <fonts count="5" x14ac:knownFonts="1">
    <font>
      <sz val="11"/>
      <color theme="1"/>
      <name val="Tw Cen MT"/>
      <family val="2"/>
      <scheme val="minor"/>
    </font>
    <font>
      <b/>
      <sz val="11"/>
      <color theme="0"/>
      <name val="Tw Cen MT"/>
      <family val="2"/>
      <scheme val="minor"/>
    </font>
    <font>
      <b/>
      <sz val="11"/>
      <color theme="1"/>
      <name val="Tw Cen MT"/>
      <family val="2"/>
      <scheme val="minor"/>
    </font>
    <font>
      <b/>
      <sz val="20"/>
      <color theme="4" tint="-0.249977111117893"/>
      <name val="Tw Cen MT Condensed"/>
      <family val="2"/>
      <scheme val="major"/>
    </font>
    <font>
      <sz val="11"/>
      <color rgb="FF767676"/>
      <name val="Tw Cen MT"/>
      <family val="2"/>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right/>
      <top style="thin">
        <color indexed="64"/>
      </top>
      <bottom style="double">
        <color indexed="64"/>
      </bottom>
      <diagonal/>
    </border>
    <border>
      <left/>
      <right/>
      <top/>
      <bottom style="thin">
        <color indexed="64"/>
      </bottom>
      <diagonal/>
    </border>
  </borders>
  <cellStyleXfs count="1">
    <xf numFmtId="0" fontId="0" fillId="0" borderId="0"/>
  </cellStyleXfs>
  <cellXfs count="14">
    <xf numFmtId="0" fontId="0" fillId="0" borderId="0" xfId="0"/>
    <xf numFmtId="0" fontId="2" fillId="0" borderId="0" xfId="0" applyFont="1"/>
    <xf numFmtId="164" fontId="0" fillId="0" borderId="0" xfId="0" applyNumberFormat="1"/>
    <xf numFmtId="44" fontId="0" fillId="0" borderId="0" xfId="0" applyNumberFormat="1"/>
    <xf numFmtId="0" fontId="3" fillId="0" borderId="0" xfId="0" applyFont="1"/>
    <xf numFmtId="0" fontId="4" fillId="0" borderId="0" xfId="0" applyFont="1"/>
    <xf numFmtId="0" fontId="1" fillId="2" borderId="0" xfId="0" applyFont="1" applyFill="1"/>
    <xf numFmtId="0" fontId="2" fillId="0" borderId="1" xfId="0" applyFont="1" applyBorder="1"/>
    <xf numFmtId="44" fontId="2" fillId="0" borderId="1" xfId="0" applyNumberFormat="1" applyFont="1" applyBorder="1"/>
    <xf numFmtId="165" fontId="0" fillId="0" borderId="0" xfId="0" applyNumberFormat="1"/>
    <xf numFmtId="165" fontId="2" fillId="0" borderId="1" xfId="0" applyNumberFormat="1" applyFont="1" applyBorder="1"/>
    <xf numFmtId="0" fontId="2" fillId="0" borderId="2" xfId="0" applyFont="1" applyBorder="1"/>
    <xf numFmtId="0" fontId="0" fillId="0" borderId="2" xfId="0" applyBorder="1"/>
    <xf numFmtId="0" fontId="0" fillId="0" borderId="0" xfId="0" pivotButton="1"/>
  </cellXfs>
  <cellStyles count="1">
    <cellStyle name="Normal" xfId="0" builtinId="0"/>
  </cellStyles>
  <dxfs count="2">
    <dxf>
      <numFmt numFmtId="34" formatCode="_(&quot;$&quot;* #,##0.00_);_(&quot;$&quot;* \(#,##0.00\);_(&quot;$&quot;* &quot;-&quot;??_);_(@_)"/>
    </dxf>
    <dxf>
      <numFmt numFmtId="164" formatCode="mmm\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5</xdr:col>
      <xdr:colOff>0</xdr:colOff>
      <xdr:row>1</xdr:row>
      <xdr:rowOff>0</xdr:rowOff>
    </xdr:from>
    <xdr:to>
      <xdr:col>7</xdr:col>
      <xdr:colOff>508000</xdr:colOff>
      <xdr:row>13</xdr:row>
      <xdr:rowOff>25400</xdr:rowOff>
    </xdr:to>
    <mc:AlternateContent xmlns:mc="http://schemas.openxmlformats.org/markup-compatibility/2006">
      <mc:Choice xmlns:sle15="http://schemas.microsoft.com/office/drawing/2012/slicer" Requires="sle15">
        <xdr:graphicFrame macro="">
          <xdr:nvGraphicFramePr>
            <xdr:cNvPr id="2" name="RegionSlicer">
              <a:extLst>
                <a:ext uri="{FF2B5EF4-FFF2-40B4-BE49-F238E27FC236}">
                  <a16:creationId xmlns:a16="http://schemas.microsoft.com/office/drawing/2014/main" id="{BAA5A6D6-D330-F4AE-5B44-F784D3313DAB}"/>
                </a:ext>
              </a:extLst>
            </xdr:cNvPr>
            <xdr:cNvGraphicFramePr/>
          </xdr:nvGraphicFramePr>
          <xdr:xfrm>
            <a:off x="0" y="0"/>
            <a:ext cx="0" cy="0"/>
          </xdr:xfrm>
          <a:graphic>
            <a:graphicData uri="http://schemas.microsoft.com/office/drawing/2010/slicer">
              <sle:slicer xmlns:sle="http://schemas.microsoft.com/office/drawing/2010/slicer" name="RegionSlicer"/>
            </a:graphicData>
          </a:graphic>
        </xdr:graphicFrame>
      </mc:Choice>
      <mc:Fallback>
        <xdr:sp macro="" textlink="">
          <xdr:nvSpPr>
            <xdr:cNvPr id="0" name=""/>
            <xdr:cNvSpPr>
              <a:spLocks noTextEdit="1"/>
            </xdr:cNvSpPr>
          </xdr:nvSpPr>
          <xdr:spPr>
            <a:xfrm>
              <a:off x="5257800" y="177800"/>
              <a:ext cx="1828800" cy="2159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Martin" refreshedDate="46293.458895370371" createdVersion="6" refreshedVersion="8" minRefreshableVersion="3" recordCount="5" xr:uid="{69F8FEE4-A34C-4B79-9F51-5958858590DE}">
  <cacheSource type="worksheet">
    <worksheetSource name="Sales"/>
  </cacheSource>
  <cacheFields count="4">
    <cacheField name="Region" numFmtId="0">
      <sharedItems count="4">
        <s v="North"/>
        <s v="South"/>
        <s v="East"/>
        <s v="West"/>
      </sharedItems>
    </cacheField>
    <cacheField name="Rep" numFmtId="0">
      <sharedItems count="4">
        <s v="Hannah Brooks"/>
        <s v="Luis Ortega"/>
        <s v="Mei Lin"/>
        <s v="Sam Carter"/>
      </sharedItems>
    </cacheField>
    <cacheField name="Month" numFmtId="164">
      <sharedItems containsSemiMixedTypes="0" containsNonDate="0" containsDate="1" containsString="0" minDate="2025-01-01T00:00:00" maxDate="2025-03-02T00:00:00"/>
    </cacheField>
    <cacheField name="Revenue" numFmtId="44">
      <sharedItems containsSemiMixedTypes="0" containsString="0" containsNumber="1" minValue="31640" maxValue="52780.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d v="2025-01-01T00:00:00"/>
    <n v="48250"/>
  </r>
  <r>
    <x v="1"/>
    <x v="1"/>
    <d v="2025-01-01T00:00:00"/>
    <n v="39110.5"/>
  </r>
  <r>
    <x v="2"/>
    <x v="2"/>
    <d v="2025-02-01T00:00:00"/>
    <n v="52780.25"/>
  </r>
  <r>
    <x v="3"/>
    <x v="3"/>
    <d v="2025-02-01T00:00:00"/>
    <n v="31640"/>
  </r>
  <r>
    <x v="0"/>
    <x v="0"/>
    <d v="2025-03-01T00:00:00"/>
    <n v="5011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FC368A-E740-4698-A127-67C6752346F1}" name="SalesPivot"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C12" firstHeaderRow="1" firstDataRow="1" firstDataCol="2"/>
  <pivotFields count="4">
    <pivotField axis="axisRow" compact="0" outline="0" showAll="0">
      <items count="5">
        <item x="2"/>
        <item x="0"/>
        <item x="1"/>
        <item x="3"/>
        <item t="default"/>
      </items>
    </pivotField>
    <pivotField axis="axisRow" compact="0" outline="0" showAll="0">
      <items count="5">
        <item x="0"/>
        <item x="1"/>
        <item x="2"/>
        <item x="3"/>
        <item t="default"/>
      </items>
    </pivotField>
    <pivotField compact="0" numFmtId="164" outline="0" showAll="0"/>
    <pivotField dataField="1" compact="0" numFmtId="44" outline="0" showAll="0"/>
  </pivotFields>
  <rowFields count="2">
    <field x="0"/>
    <field x="1"/>
  </rowFields>
  <rowItems count="9">
    <i>
      <x/>
      <x v="2"/>
    </i>
    <i t="default">
      <x/>
    </i>
    <i>
      <x v="1"/>
      <x/>
    </i>
    <i t="default">
      <x v="1"/>
    </i>
    <i>
      <x v="2"/>
      <x v="1"/>
    </i>
    <i t="default">
      <x v="2"/>
    </i>
    <i>
      <x v="3"/>
      <x v="3"/>
    </i>
    <i t="default">
      <x v="3"/>
    </i>
    <i t="grand">
      <x/>
    </i>
  </rowItems>
  <colItems count="1">
    <i/>
  </colItems>
  <dataFields count="1">
    <dataField name="Total Revenue" fld="3" baseField="0" baseItem="0" numFmtId="4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472E2F-7A75-473E-B913-02302C2BFB06}" sourceName="Region">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licer" xr10:uid="{39CDDEA7-4F89-4595-9199-884226205237}"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BBC1E9-0D93-4535-A8D5-D91414EDBE18}" name="Sales" displayName="Sales" ref="A1:D6" totalsRowShown="0">
  <autoFilter ref="A1:D6" xr:uid="{CABBC1E9-0D93-4535-A8D5-D91414EDBE18}"/>
  <tableColumns count="4">
    <tableColumn id="1" xr3:uid="{2BF094DD-3A7C-4E30-8DA5-C5442E3FE9E8}" name="Region"/>
    <tableColumn id="2" xr3:uid="{875E57D2-AE96-4114-9BAC-2A99F7AEF172}" name="Rep"/>
    <tableColumn id="3" xr3:uid="{2F91BE5B-BA58-4209-9E27-D9C3FB47D0C7}" name="Month" dataDxfId="1"/>
    <tableColumn id="4" xr3:uid="{C808BDA1-1A64-43BD-9310-9E3EE66C7675}" name="Revenue"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F0024-5E13-4E50-890E-89F0D1F129FF}">
  <dimension ref="A1:C15"/>
  <sheetViews>
    <sheetView showGridLines="0" tabSelected="1" workbookViewId="0"/>
  </sheetViews>
  <sheetFormatPr defaultRowHeight="14" x14ac:dyDescent="0.3"/>
  <cols>
    <col min="1" max="1" width="40.58203125" customWidth="1"/>
    <col min="2" max="2" width="16.58203125" customWidth="1"/>
    <col min="3" max="3" width="10.58203125" customWidth="1"/>
  </cols>
  <sheetData>
    <row r="1" spans="1:3" ht="25.5" x14ac:dyDescent="0.55000000000000004">
      <c r="A1" s="4" t="s">
        <v>13</v>
      </c>
    </row>
    <row r="2" spans="1:3" x14ac:dyDescent="0.3">
      <c r="A2" s="5" t="str">
        <f>"Months covered: "&amp;TEXT(MIN(Sales[Month]),"mmm yyyy")&amp;" - "&amp;TEXT(MAX(Sales[Month]),"mmm yyyy")</f>
        <v>Months covered: Jan 2025 - Mar 2025</v>
      </c>
    </row>
    <row r="4" spans="1:3" x14ac:dyDescent="0.3">
      <c r="A4" s="6" t="s">
        <v>5</v>
      </c>
      <c r="B4" s="6" t="s">
        <v>8</v>
      </c>
      <c r="C4" s="6" t="s">
        <v>14</v>
      </c>
    </row>
    <row r="5" spans="1:3" x14ac:dyDescent="0.3">
      <c r="A5" t="s">
        <v>1</v>
      </c>
      <c r="B5" s="3">
        <f>SUMIFS(Sales[Revenue],Sales[Region],$A5)</f>
        <v>98365.75</v>
      </c>
      <c r="C5" s="9">
        <f t="shared" ref="C5:C8" si="0">IF($B$9=0,0,B5/$B$9)</f>
        <v>0.44329563557784823</v>
      </c>
    </row>
    <row r="6" spans="1:3" x14ac:dyDescent="0.3">
      <c r="A6" t="s">
        <v>2</v>
      </c>
      <c r="B6" s="3">
        <f>SUMIFS(Sales[Revenue],Sales[Region],$A6)</f>
        <v>39110.5</v>
      </c>
      <c r="C6" s="9">
        <f t="shared" si="0"/>
        <v>0.17625559664077622</v>
      </c>
    </row>
    <row r="7" spans="1:3" x14ac:dyDescent="0.3">
      <c r="A7" t="s">
        <v>3</v>
      </c>
      <c r="B7" s="3">
        <f>SUMIFS(Sales[Revenue],Sales[Region],$A7)</f>
        <v>52780.25</v>
      </c>
      <c r="C7" s="9">
        <f t="shared" si="0"/>
        <v>0.23785976795487987</v>
      </c>
    </row>
    <row r="8" spans="1:3" x14ac:dyDescent="0.3">
      <c r="A8" t="s">
        <v>4</v>
      </c>
      <c r="B8" s="3">
        <f>SUMIFS(Sales[Revenue],Sales[Region],$A8)</f>
        <v>31640</v>
      </c>
      <c r="C8" s="9">
        <f t="shared" si="0"/>
        <v>0.1425889998264957</v>
      </c>
    </row>
    <row r="9" spans="1:3" ht="14.5" thickBot="1" x14ac:dyDescent="0.35">
      <c r="A9" s="7" t="s">
        <v>15</v>
      </c>
      <c r="B9" s="8">
        <f>SUM(B5:B8)</f>
        <v>221896.5</v>
      </c>
      <c r="C9" s="10">
        <f>SUM(C5:C8)</f>
        <v>1</v>
      </c>
    </row>
    <row r="10" spans="1:3" ht="14.5" thickTop="1" x14ac:dyDescent="0.3"/>
    <row r="11" spans="1:3" x14ac:dyDescent="0.3">
      <c r="A11" s="11" t="s">
        <v>16</v>
      </c>
      <c r="B11" s="12"/>
    </row>
    <row r="12" spans="1:3" x14ac:dyDescent="0.3">
      <c r="A12" t="s">
        <v>17</v>
      </c>
      <c r="B12" s="3">
        <f>Data!D3</f>
        <v>39110.5</v>
      </c>
    </row>
    <row r="13" spans="1:3" x14ac:dyDescent="0.3">
      <c r="A13" t="s">
        <v>18</v>
      </c>
      <c r="B13" s="3">
        <f>SUM(Data!D2:D6)</f>
        <v>221896.5</v>
      </c>
    </row>
    <row r="14" spans="1:3" x14ac:dyDescent="0.3">
      <c r="A14" t="s">
        <v>19</v>
      </c>
      <c r="B14" s="3">
        <f>SUM(Sales[Revenue])</f>
        <v>221896.5</v>
      </c>
    </row>
    <row r="15" spans="1:3" x14ac:dyDescent="0.3">
      <c r="A15" t="s">
        <v>20</v>
      </c>
      <c r="B15">
        <f>ROWS(Sales[])</f>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AA2DC-C63D-4B09-A0C8-42CB2A58B7CF}">
  <dimension ref="A1:D6"/>
  <sheetViews>
    <sheetView workbookViewId="0">
      <pane ySplit="1" topLeftCell="A2" activePane="bottomLeft" state="frozenSplit"/>
      <selection pane="bottomLeft"/>
    </sheetView>
  </sheetViews>
  <sheetFormatPr defaultRowHeight="14" x14ac:dyDescent="0.3"/>
  <cols>
    <col min="1" max="1" width="12.58203125" customWidth="1"/>
    <col min="2" max="2" width="18.58203125" customWidth="1"/>
    <col min="3" max="3" width="12.58203125" customWidth="1"/>
    <col min="4" max="4" width="16.58203125" customWidth="1"/>
  </cols>
  <sheetData>
    <row r="1" spans="1:4" x14ac:dyDescent="0.3">
      <c r="A1" t="s">
        <v>5</v>
      </c>
      <c r="B1" t="s">
        <v>6</v>
      </c>
      <c r="C1" t="s">
        <v>7</v>
      </c>
      <c r="D1" s="3" t="s">
        <v>8</v>
      </c>
    </row>
    <row r="2" spans="1:4" x14ac:dyDescent="0.3">
      <c r="A2" t="s">
        <v>1</v>
      </c>
      <c r="B2" t="s">
        <v>9</v>
      </c>
      <c r="C2" s="2">
        <v>45658</v>
      </c>
      <c r="D2" s="3">
        <v>48250</v>
      </c>
    </row>
    <row r="3" spans="1:4" x14ac:dyDescent="0.3">
      <c r="A3" t="s">
        <v>2</v>
      </c>
      <c r="B3" t="s">
        <v>10</v>
      </c>
      <c r="C3" s="2">
        <v>45658</v>
      </c>
      <c r="D3" s="3">
        <v>39110.5</v>
      </c>
    </row>
    <row r="4" spans="1:4" x14ac:dyDescent="0.3">
      <c r="A4" t="s">
        <v>3</v>
      </c>
      <c r="B4" t="s">
        <v>11</v>
      </c>
      <c r="C4" s="2">
        <v>45689</v>
      </c>
      <c r="D4" s="3">
        <v>52780.25</v>
      </c>
    </row>
    <row r="5" spans="1:4" x14ac:dyDescent="0.3">
      <c r="A5" t="s">
        <v>4</v>
      </c>
      <c r="B5" t="s">
        <v>12</v>
      </c>
      <c r="C5" s="2">
        <v>45689</v>
      </c>
      <c r="D5" s="3">
        <v>31640</v>
      </c>
    </row>
    <row r="6" spans="1:4" x14ac:dyDescent="0.3">
      <c r="A6" t="s">
        <v>1</v>
      </c>
      <c r="B6" t="s">
        <v>9</v>
      </c>
      <c r="C6" s="2">
        <v>45717</v>
      </c>
      <c r="D6" s="3">
        <v>50115.75</v>
      </c>
    </row>
  </sheetData>
  <dataValidations count="1">
    <dataValidation type="list" allowBlank="1" showInputMessage="1" showErrorMessage="1" sqref="A2:A6" xr:uid="{BFC9F22A-DC16-4D79-A761-F34A3CBE8D9B}">
      <formula1>RegionList</formula1>
    </dataValidation>
  </dataValidation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64ED0-163E-4F6B-80B3-23B3DA0D2A9E}">
  <dimension ref="A1:C12"/>
  <sheetViews>
    <sheetView workbookViewId="0"/>
  </sheetViews>
  <sheetFormatPr defaultRowHeight="14" x14ac:dyDescent="0.3"/>
  <cols>
    <col min="1" max="1" width="15.4140625" bestFit="1" customWidth="1"/>
    <col min="2" max="2" width="11.58203125" bestFit="1" customWidth="1"/>
    <col min="3" max="3" width="12" bestFit="1" customWidth="1"/>
  </cols>
  <sheetData>
    <row r="1" spans="1:3" x14ac:dyDescent="0.3">
      <c r="A1" s="1" t="s">
        <v>27</v>
      </c>
    </row>
    <row r="3" spans="1:3" x14ac:dyDescent="0.3">
      <c r="A3" s="13" t="s">
        <v>5</v>
      </c>
      <c r="B3" s="13" t="s">
        <v>6</v>
      </c>
      <c r="C3" t="s">
        <v>22</v>
      </c>
    </row>
    <row r="4" spans="1:3" x14ac:dyDescent="0.3">
      <c r="A4" t="s">
        <v>3</v>
      </c>
      <c r="B4" t="s">
        <v>11</v>
      </c>
      <c r="C4" s="3">
        <v>52780.25</v>
      </c>
    </row>
    <row r="5" spans="1:3" x14ac:dyDescent="0.3">
      <c r="A5" t="s">
        <v>23</v>
      </c>
      <c r="C5" s="3">
        <v>52780.25</v>
      </c>
    </row>
    <row r="6" spans="1:3" x14ac:dyDescent="0.3">
      <c r="A6" t="s">
        <v>1</v>
      </c>
      <c r="B6" t="s">
        <v>9</v>
      </c>
      <c r="C6" s="3">
        <v>98365.75</v>
      </c>
    </row>
    <row r="7" spans="1:3" x14ac:dyDescent="0.3">
      <c r="A7" t="s">
        <v>24</v>
      </c>
      <c r="C7" s="3">
        <v>98365.75</v>
      </c>
    </row>
    <row r="8" spans="1:3" x14ac:dyDescent="0.3">
      <c r="A8" t="s">
        <v>2</v>
      </c>
      <c r="B8" t="s">
        <v>10</v>
      </c>
      <c r="C8" s="3">
        <v>39110.5</v>
      </c>
    </row>
    <row r="9" spans="1:3" x14ac:dyDescent="0.3">
      <c r="A9" t="s">
        <v>25</v>
      </c>
      <c r="C9" s="3">
        <v>39110.5</v>
      </c>
    </row>
    <row r="10" spans="1:3" x14ac:dyDescent="0.3">
      <c r="A10" t="s">
        <v>4</v>
      </c>
      <c r="B10" t="s">
        <v>12</v>
      </c>
      <c r="C10" s="3">
        <v>31640</v>
      </c>
    </row>
    <row r="11" spans="1:3" x14ac:dyDescent="0.3">
      <c r="A11" t="s">
        <v>26</v>
      </c>
      <c r="C11" s="3">
        <v>31640</v>
      </c>
    </row>
    <row r="12" spans="1:3" x14ac:dyDescent="0.3">
      <c r="A12" t="s">
        <v>21</v>
      </c>
      <c r="C12" s="3">
        <v>221896.5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38183-947D-43EB-83F3-ABB4B0C85322}">
  <dimension ref="A1:A5"/>
  <sheetViews>
    <sheetView workbookViewId="0"/>
  </sheetViews>
  <sheetFormatPr defaultRowHeight="1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Data</vt:lpstr>
      <vt:lpstr>Pivot</vt:lpstr>
      <vt:lpstr>Lookups</vt:lpstr>
      <vt:lpstr>RegionList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Martin</dc:creator>
  <cp:lastModifiedBy>Ryan Martin</cp:lastModifiedBy>
  <dcterms:created xsi:type="dcterms:W3CDTF">2026-09-28T16:00:46Z</dcterms:created>
  <dcterms:modified xsi:type="dcterms:W3CDTF">2026-09-28T16:00:48Z</dcterms:modified>
</cp:coreProperties>
</file>