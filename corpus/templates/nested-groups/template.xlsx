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xtr\LocalTools\excel-graft\corpus\templates\nested-groups\"/>
    </mc:Choice>
  </mc:AlternateContent>
  <xr:revisionPtr revIDLastSave="0" documentId="8_{533C1DC2-1B7F-4B06-836F-907F2322682E}" xr6:coauthVersionLast="47" xr6:coauthVersionMax="47" xr10:uidLastSave="{00000000-0000-0000-0000-000000000000}"/>
  <bookViews>
    <workbookView xWindow="2240" yWindow="2470" windowWidth="28800" windowHeight="15910" xr2:uid="{12FD825E-9701-4788-9355-AF911BA81062}"/>
  </bookViews>
  <sheets>
    <sheet name="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6" i="1" l="1"/>
  <c r="C16" i="1"/>
  <c r="B16" i="1"/>
  <c r="D10" i="1"/>
  <c r="C10" i="1"/>
  <c r="B10" i="1"/>
  <c r="D14" i="1"/>
  <c r="C14" i="1"/>
  <c r="B14" i="1"/>
  <c r="D15" i="1"/>
  <c r="D11" i="1"/>
  <c r="C11" i="1"/>
  <c r="B11" i="1"/>
  <c r="D13" i="1"/>
  <c r="D12" i="1"/>
  <c r="D4" i="1"/>
  <c r="C4" i="1"/>
  <c r="B4" i="1"/>
  <c r="D8" i="1"/>
  <c r="C8" i="1"/>
  <c r="B8" i="1"/>
  <c r="D9" i="1"/>
  <c r="D5" i="1"/>
  <c r="C5" i="1"/>
  <c r="B5" i="1"/>
  <c r="D7" i="1"/>
  <c r="D6" i="1"/>
</calcChain>
</file>

<file path=xl/sharedStrings.xml><?xml version="1.0" encoding="utf-8"?>
<sst xmlns="http://schemas.openxmlformats.org/spreadsheetml/2006/main" count="18" uniqueCount="16">
  <si>
    <t>Budget vs Actual</t>
  </si>
  <si>
    <t>Line</t>
  </si>
  <si>
    <t>Budget</t>
  </si>
  <si>
    <t>Actual</t>
  </si>
  <si>
    <t>Variance</t>
  </si>
  <si>
    <t>North</t>
  </si>
  <si>
    <t xml:space="preserve">  Travel</t>
  </si>
  <si>
    <t xml:space="preserve">    Airfare</t>
  </si>
  <si>
    <t xml:space="preserve">    Hotels</t>
  </si>
  <si>
    <t xml:space="preserve">  Software</t>
  </si>
  <si>
    <t xml:space="preserve">    Licenses</t>
  </si>
  <si>
    <t>South</t>
  </si>
  <si>
    <t xml:space="preserve">    Mileage</t>
  </si>
  <si>
    <t xml:space="preserve">  Training</t>
  </si>
  <si>
    <t xml:space="preserve">    Courses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</si>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</sst>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\(#,##0\)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6A9C"/>
        <bgColor indexed="64"/>
      </patternFill>
    </fill>
    <fill>
      <patternFill patternType="solid">
        <fgColor rgb="FFD5E3F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1" xfId="0" applyFont="1" applyBorder="1"/>
    <xf numFmtId="0" fontId="3" fillId="2" borderId="0" xfId="0" applyFont="1" applyFill="1"/>
    <xf numFmtId="0" fontId="1" fillId="3" borderId="0" xfId="0" applyFont="1" applyFill="1"/>
    <xf numFmtId="0" fontId="1" fillId="0" borderId="2" xfId="0" applyFont="1" applyBorder="1"/>
    <xf numFmtId="164" fontId="3" fillId="2" borderId="0" xfId="0" applyNumberFormat="1" applyFont="1" applyFill="1"/>
    <xf numFmtId="164" fontId="1" fillId="3" borderId="0" xfId="0" applyNumberFormat="1" applyFont="1" applyFill="1"/>
    <xf numFmtId="164" fontId="0" fillId="0" borderId="0" xfId="0" applyNumberFormat="1"/>
    <xf numFmtId="164" fontId="1" fillId="0" borderId="2" xfId="0" applyNumberFormat="1" applyFont="1" applyBorder="1"/>
  </cellXfs>
  <cellStyles count="1">
    <cellStyle name="Normal" xfId="0" builtinId="0"/>
  </cellStyles>
  <dxfs count="6">
    <dxf>
      <font>
        <color rgb="FFC0000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164" formatCode="#,##0;[Red]\(#,##0\)"/>
    </dxf>
    <dxf>
      <numFmt numFmtId="164" formatCode="#,##0;[Red]\(#,##0\)"/>
    </dxf>
    <dxf>
      <numFmt numFmtId="164" formatCode="#,##0;[Red]\(#,##0\)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Regions: budget vs actual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(Budget!$A$4,Budget!$A$9)</c:f>
              <c:strCache>
                <c:ptCount val="2"/>
                <c:pt idx="0">
                  <c:v>North</c:v>
                </c:pt>
                <c:pt idx="1">
                  <c:v>    Licenses</c:v>
                </c:pt>
              </c:strCache>
            </c:strRef>
          </c:cat>
          <c:val>
            <c:numRef>
              <c:f>(Budget!$B$4,Budget!$B$9)</c:f>
              <c:numCache>
                <c:formatCode>#,##0;[Red]\(#,##0\)</c:formatCode>
                <c:ptCount val="2"/>
                <c:pt idx="0">
                  <c:v>16000</c:v>
                </c:pt>
                <c:pt idx="1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F6-4D6C-887A-901329B299DA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(Budget!$A$4,Budget!$A$9)</c:f>
              <c:strCache>
                <c:ptCount val="2"/>
                <c:pt idx="0">
                  <c:v>North</c:v>
                </c:pt>
                <c:pt idx="1">
                  <c:v>    Licenses</c:v>
                </c:pt>
              </c:strCache>
            </c:strRef>
          </c:cat>
          <c:val>
            <c:numRef>
              <c:f>(Budget!$C$4,Budget!$C$9)</c:f>
              <c:numCache>
                <c:formatCode>#,##0;[Red]\(#,##0\)</c:formatCode>
                <c:ptCount val="2"/>
                <c:pt idx="0">
                  <c:v>15150</c:v>
                </c:pt>
                <c:pt idx="1">
                  <c:v>7600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F6-4D6C-887A-901329B299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296576"/>
        <c:axId val="1886536495"/>
      </c:barChart>
      <c:catAx>
        <c:axId val="12152965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536495"/>
        <c:crosses val="autoZero"/>
        <c:auto val="1"/>
        <c:lblAlgn val="ctr"/>
        <c:lblOffset val="100"/>
        <c:noMultiLvlLbl val="0"/>
      </c:catAx>
      <c:valAx>
        <c:axId val="188653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296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342900</xdr:colOff>
      <xdr:row>1</xdr:row>
      <xdr:rowOff>114300</xdr:rowOff>
    </xdr:from>
    <xdr:to>
      <xdr:col>12</xdr:col>
      <xdr:colOff>38100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1B92C2-331A-3E36-32D9-F51DC499CC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C0C1A-68A0-4288-AE81-54863DB255EE}" name="Budget" displayName="Budget" ref="A3:D16" totalsRowShown="0" headerRowDxfId="1" headerRowBorderDxfId="5">
  <autoFilter ref="A3:D16" xr:uid="{0E6C0C1A-68A0-4288-AE81-54863DB255EE}"/>
  <tableColumns count="4">
    <tableColumn id="1" xr3:uid="{A38F8B5E-A4BB-4404-82A2-68F5BD18E95F}" name="Line"/>
    <tableColumn id="2" xr3:uid="{AF59B09C-4136-4C50-8E97-D18876CB3F3C}" name="Budget" dataDxfId="4"/>
    <tableColumn id="3" xr3:uid="{167BFF85-47E7-4616-93A4-DB6861901752}" name="Actual" dataDxfId="3"/>
    <tableColumn id="4" xr3:uid="{C1C2C1DA-B6D5-420B-A089-DF7DDE222AD7}" name="Variance" dataDxfId="2">
      <calculatedColumnFormula>C4-B4</calculatedColumnFormula>
    </tableColumn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DD98-B8C1-457B-BF75-772D14D69C40}">
  <dimension ref="A1:D16"/>
  <sheetViews>
    <sheetView tabSelected="1" workbookViewId="0"/>
  </sheetViews>
  <sheetFormatPr defaultRowHeight="14.5" x14ac:dyDescent="0.35"/>
  <cols>
    <col min="1" max="1" width="22.6328125" customWidth="1"/>
    <col min="2" max="4" width="12.6328125" customWidth="1"/>
  </cols>
  <sheetData>
    <row r="1" spans="1:4" ht="21" x14ac:dyDescent="0.5">
      <c r="A1" s="1" t="s">
        <v>0</v>
      </c>
    </row>
    <row r="3" spans="1:4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5">
      <c r="A4" s="3" t="s">
        <v>5</v>
      </c>
      <c r="B4" s="6">
        <f>SUM(B5,B8)</f>
        <v>16000</v>
      </c>
      <c r="C4" s="6">
        <f>SUM(C5,C8)</f>
        <v>15150</v>
      </c>
      <c r="D4" s="6">
        <f>C4-B4</f>
        <v>-850</v>
      </c>
    </row>
    <row r="5" spans="1:4" x14ac:dyDescent="0.35">
      <c r="A5" s="4" t="s">
        <v>6</v>
      </c>
      <c r="B5" s="7">
        <f>SUM(B6:B7)</f>
        <v>8000</v>
      </c>
      <c r="C5" s="7">
        <f>SUM(C6:C7)</f>
        <v>7550</v>
      </c>
      <c r="D5" s="7">
        <f>C5-B5</f>
        <v>-450</v>
      </c>
    </row>
    <row r="6" spans="1:4" x14ac:dyDescent="0.35">
      <c r="A6" t="s">
        <v>7</v>
      </c>
      <c r="B6" s="8">
        <v>5000</v>
      </c>
      <c r="C6" s="8">
        <v>4200</v>
      </c>
      <c r="D6" s="8">
        <f>C6-B6</f>
        <v>-800</v>
      </c>
    </row>
    <row r="7" spans="1:4" x14ac:dyDescent="0.35">
      <c r="A7" t="s">
        <v>8</v>
      </c>
      <c r="B7" s="8">
        <v>3000</v>
      </c>
      <c r="C7" s="8">
        <v>3350</v>
      </c>
      <c r="D7" s="8">
        <f>C7-B7</f>
        <v>350</v>
      </c>
    </row>
    <row r="8" spans="1:4" x14ac:dyDescent="0.35">
      <c r="A8" s="4" t="s">
        <v>9</v>
      </c>
      <c r="B8" s="7">
        <f>SUM(B9:B9)</f>
        <v>8000</v>
      </c>
      <c r="C8" s="7">
        <f>SUM(C9:C9)</f>
        <v>7600</v>
      </c>
      <c r="D8" s="7">
        <f>C8-B8</f>
        <v>-400</v>
      </c>
    </row>
    <row r="9" spans="1:4" x14ac:dyDescent="0.35">
      <c r="A9" t="s">
        <v>10</v>
      </c>
      <c r="B9" s="8">
        <v>8000</v>
      </c>
      <c r="C9" s="8">
        <v>7600</v>
      </c>
      <c r="D9" s="8">
        <f>C9-B9</f>
        <v>-400</v>
      </c>
    </row>
    <row r="10" spans="1:4" x14ac:dyDescent="0.35">
      <c r="A10" s="3" t="s">
        <v>11</v>
      </c>
      <c r="B10" s="6">
        <f>SUM(B11,B14)</f>
        <v>7700</v>
      </c>
      <c r="C10" s="6">
        <f>SUM(C11,C14)</f>
        <v>7500</v>
      </c>
      <c r="D10" s="6">
        <f>C10-B10</f>
        <v>-200</v>
      </c>
    </row>
    <row r="11" spans="1:4" x14ac:dyDescent="0.35">
      <c r="A11" s="4" t="s">
        <v>6</v>
      </c>
      <c r="B11" s="7">
        <f>SUM(B12:B13)</f>
        <v>5200</v>
      </c>
      <c r="C11" s="7">
        <f>SUM(C12:C13)</f>
        <v>5000</v>
      </c>
      <c r="D11" s="7">
        <f>C11-B11</f>
        <v>-200</v>
      </c>
    </row>
    <row r="12" spans="1:4" x14ac:dyDescent="0.35">
      <c r="A12" t="s">
        <v>7</v>
      </c>
      <c r="B12" s="8">
        <v>4000</v>
      </c>
      <c r="C12" s="8">
        <v>4100</v>
      </c>
      <c r="D12" s="8">
        <f>C12-B12</f>
        <v>100</v>
      </c>
    </row>
    <row r="13" spans="1:4" x14ac:dyDescent="0.35">
      <c r="A13" t="s">
        <v>12</v>
      </c>
      <c r="B13" s="8">
        <v>1200</v>
      </c>
      <c r="C13" s="8">
        <v>900</v>
      </c>
      <c r="D13" s="8">
        <f>C13-B13</f>
        <v>-300</v>
      </c>
    </row>
    <row r="14" spans="1:4" x14ac:dyDescent="0.35">
      <c r="A14" s="4" t="s">
        <v>13</v>
      </c>
      <c r="B14" s="7">
        <f>SUM(B15:B15)</f>
        <v>2500</v>
      </c>
      <c r="C14" s="7">
        <f>SUM(C15:C15)</f>
        <v>2500</v>
      </c>
      <c r="D14" s="7">
        <f>C14-B14</f>
        <v>0</v>
      </c>
    </row>
    <row r="15" spans="1:4" ht="15" thickBot="1" x14ac:dyDescent="0.4">
      <c r="A15" t="s">
        <v>14</v>
      </c>
      <c r="B15" s="8">
        <v>2500</v>
      </c>
      <c r="C15" s="8">
        <v>2500</v>
      </c>
      <c r="D15" s="8">
        <f>C15-B15</f>
        <v>0</v>
      </c>
    </row>
    <row r="16" spans="1:4" ht="15" thickTop="1" x14ac:dyDescent="0.35">
      <c r="A16" s="5" t="s">
        <v>15</v>
      </c>
      <c r="B16" s="9">
        <f>SUM(B4,B10)</f>
        <v>23700</v>
      </c>
      <c r="C16" s="9">
        <f>SUM(C4,C10)</f>
        <v>22650</v>
      </c>
      <c r="D16" s="9">
        <f>C16-B16</f>
        <v>-1050</v>
      </c>
    </row>
  </sheetData>
  <conditionalFormatting sqref="D4:D16">
    <cfRule type="cellIs" dxfId="0" priority="1" stopIfTrue="1" operator="lessThan">
      <formula>0</formula>
    </cfRule>
  </conditionalFormatting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Martin</dc:creator>
  <cp:lastModifiedBy>Ryan Martin</cp:lastModifiedBy>
  <dcterms:created xsi:type="dcterms:W3CDTF">2026-09-28T16:36:13Z</dcterms:created>
  <dcterms:modified xsi:type="dcterms:W3CDTF">2026-09-28T16:36:13Z</dcterms:modified>
</cp:coreProperties>
</file>