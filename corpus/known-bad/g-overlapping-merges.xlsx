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stacked-regions\"/>
    </mc:Choice>
  </mc:AlternateContent>
  <xr:revisionPtr revIDLastSave="0" documentId="8_{3A5000D7-8136-4C80-A98E-05C96E0E865D}" xr6:coauthVersionLast="47" xr6:coauthVersionMax="47" xr10:uidLastSave="{00000000-0000-0000-0000-000000000000}"/>
  <bookViews>
    <workbookView xWindow="2240" yWindow="2470" windowWidth="28800" windowHeight="15910" xr2:uid="{21BC7515-A631-4547-A471-E5533E237675}"/>
  </bookViews>
  <sheets>
    <sheet name="P&amp;L" sheetId="1" r:id="rId1"/>
  </sheets>
  <definedNames>
    <definedName name="_xlnm.Print_Area" localSheetId="0">'P&amp;L'!$A$1:$C$24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" i="1" l="1"/>
  <c r="C17" i="1"/>
  <c r="C8" i="1"/>
</calcChain>
</file>

<file path=xl/sharedStrings.xml><?xml version="1.0" encoding="utf-8"?>
<sst xmlns="http://schemas.openxmlformats.org/spreadsheetml/2006/main" count="29" uniqueCount="26">
  <si>
    <t>Profit &amp; Loss - Q4 FY2025</t>
  </si>
  <si>
    <t>Category</t>
  </si>
  <si>
    <t>Description</t>
  </si>
  <si>
    <t>Amount</t>
  </si>
  <si>
    <t>Product</t>
  </si>
  <si>
    <t>Hardware units</t>
  </si>
  <si>
    <t>Services</t>
  </si>
  <si>
    <t>Consulting engagements</t>
  </si>
  <si>
    <t>Subscriptions</t>
  </si>
  <si>
    <t>SaaS recurring revenue</t>
  </si>
  <si>
    <t>Other</t>
  </si>
  <si>
    <t>Interest income</t>
  </si>
  <si>
    <t>Total Revenue</t>
  </si>
  <si>
    <t>Payroll</t>
  </si>
  <si>
    <t>Salaries, wages &amp; benefits</t>
  </si>
  <si>
    <t>Occupancy</t>
  </si>
  <si>
    <t>Office rent</t>
  </si>
  <si>
    <t>Technology</t>
  </si>
  <si>
    <t>Software &amp; cloud hosting</t>
  </si>
  <si>
    <t>Marketing</t>
  </si>
  <si>
    <t>Campaigns &amp; events</t>
  </si>
  <si>
    <t>Travel</t>
  </si>
  <si>
    <t>Customer visits</t>
  </si>
  <si>
    <t>Total Expenses</t>
  </si>
  <si>
    <t>Net Income</t>
  </si>
  <si>
    <t>Notes: Revenue is recognised under ASC 606. Subscription revenue is recognised ratably over the contract term. Interest income excludes unrealised gains on marketable securities. Figures are unaudited and subject to year-end adjustments.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</si>
</sst>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entury Gothic"/>
      <family val="2"/>
      <scheme val="minor"/>
    </font>
    <font>
      <b/>
      <sz val="18"/>
      <color theme="4" tint="-0.249977111117893"/>
      <name val="Century Gothic"/>
      <family val="2"/>
      <scheme val="major"/>
    </font>
    <font>
      <b/>
      <sz val="12"/>
      <color theme="0"/>
      <name val="Century Gothic"/>
      <family val="2"/>
      <scheme val="minor"/>
    </font>
    <font>
      <sz val="9"/>
      <color theme="1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4" fontId="0" fillId="0" borderId="0" xfId="0" applyNumberFormat="1"/>
    <xf numFmtId="0" fontId="2" fillId="2" borderId="0" xfId="0" applyFont="1" applyFill="1"/>
    <xf numFmtId="44" fontId="2" fillId="2" borderId="1" xfId="0" applyNumberFormat="1" applyFont="1" applyFill="1" applyBorder="1"/>
    <xf numFmtId="0" fontId="0" fillId="3" borderId="2" xfId="0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</cellXfs>
  <cellStyles count="1">
    <cellStyle name="Normal" xfId="0" builtinId="0"/>
  </cellStyles>
  <dxfs count="2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81602C-E182-489A-81D1-8F19093CD7B1}" name="Revenue" displayName="Revenue" ref="A3:C8" totalsRowCount="1">
  <autoFilter ref="A3:C7" xr:uid="{3781602C-E182-489A-81D1-8F19093CD7B1}"/>
  <tableColumns count="3">
    <tableColumn id="1" xr3:uid="{C82CACC9-2F47-44EA-9216-95CCF577F4B5}" name="Category" totalsRowLabel="Total Revenue"/>
    <tableColumn id="2" xr3:uid="{51DCEF62-3930-4098-A32D-A925F39B3DC5}" name="Description"/>
    <tableColumn id="3" xr3:uid="{69E7B250-B4DD-4BD7-8F24-F1705D0C65D0}" name="Amount" totalsRowFunction="sum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4CE3C7-133E-4788-BD48-F22D64EC055F}" name="Expenses" displayName="Expenses" ref="A11:C17" totalsRowCount="1">
  <autoFilter ref="A11:C16" xr:uid="{B24CE3C7-133E-4788-BD48-F22D64EC055F}"/>
  <tableColumns count="3">
    <tableColumn id="1" xr3:uid="{30A930D0-1C34-4219-8AFB-DE1E8D926702}" name="Category" totalsRowLabel="Total Expenses"/>
    <tableColumn id="2" xr3:uid="{E918D2EA-A14F-4230-9EA1-42E7092AFF11}" name="Description"/>
    <tableColumn id="3" xr3:uid="{E26734C5-41B6-490E-BF70-642A1DAF1137}" name="Amount" totalsRowFunction="sum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69DD-AD31-4E0E-8A34-2BEFBC6E3678}">
  <sheetPr>
    <pageSetUpPr fitToPage="1"/>
  </sheetPr>
  <dimension ref="A1:C24"/>
  <sheetViews>
    <sheetView showGridLines="0" tabSelected="1" workbookViewId="0"/>
  </sheetViews>
  <sheetFormatPr defaultRowHeight="13.5" x14ac:dyDescent="0.25"/>
  <cols>
    <col min="1" max="1" width="18.58203125" customWidth="1"/>
    <col min="2" max="2" width="32.58203125" customWidth="1"/>
    <col min="3" max="3" width="16.58203125" customWidth="1"/>
  </cols>
  <sheetData>
    <row r="1" spans="1:3" ht="22.5" x14ac:dyDescent="0.45">
      <c r="A1" s="1" t="s">
        <v>0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4</v>
      </c>
      <c r="B4" t="s">
        <v>5</v>
      </c>
      <c r="C4" s="2">
        <v>125000</v>
      </c>
    </row>
    <row r="5" spans="1:3" x14ac:dyDescent="0.25">
      <c r="A5" t="s">
        <v>6</v>
      </c>
      <c r="B5" t="s">
        <v>7</v>
      </c>
      <c r="C5" s="2">
        <v>48500</v>
      </c>
    </row>
    <row r="6" spans="1:3" x14ac:dyDescent="0.25">
      <c r="A6" t="s">
        <v>8</v>
      </c>
      <c r="B6" t="s">
        <v>9</v>
      </c>
      <c r="C6" s="2">
        <v>36200</v>
      </c>
    </row>
    <row r="7" spans="1:3" x14ac:dyDescent="0.25">
      <c r="A7" t="s">
        <v>10</v>
      </c>
      <c r="B7" t="s">
        <v>11</v>
      </c>
      <c r="C7" s="2">
        <v>1150</v>
      </c>
    </row>
    <row r="8" spans="1:3" x14ac:dyDescent="0.25">
      <c r="A8" t="s">
        <v>12</v>
      </c>
      <c r="C8" s="2">
        <f>SUBTOTAL(109,Revenue[Amount])</f>
        <v>210850</v>
      </c>
    </row>
    <row r="11" spans="1:3" x14ac:dyDescent="0.25">
      <c r="A11" t="s">
        <v>1</v>
      </c>
      <c r="B11" t="s">
        <v>2</v>
      </c>
      <c r="C11" t="s">
        <v>3</v>
      </c>
    </row>
    <row r="12" spans="1:3" x14ac:dyDescent="0.25">
      <c r="A12" t="s">
        <v>13</v>
      </c>
      <c r="B12" t="s">
        <v>14</v>
      </c>
      <c r="C12" s="2">
        <v>92000</v>
      </c>
    </row>
    <row r="13" spans="1:3" x14ac:dyDescent="0.25">
      <c r="A13" t="s">
        <v>15</v>
      </c>
      <c r="B13" t="s">
        <v>16</v>
      </c>
      <c r="C13" s="2">
        <v>14500</v>
      </c>
    </row>
    <row r="14" spans="1:3" x14ac:dyDescent="0.25">
      <c r="A14" t="s">
        <v>17</v>
      </c>
      <c r="B14" t="s">
        <v>18</v>
      </c>
      <c r="C14" s="2">
        <v>6800</v>
      </c>
    </row>
    <row r="15" spans="1:3" x14ac:dyDescent="0.25">
      <c r="A15" t="s">
        <v>19</v>
      </c>
      <c r="B15" t="s">
        <v>20</v>
      </c>
      <c r="C15" s="2">
        <v>11250</v>
      </c>
    </row>
    <row r="16" spans="1:3" x14ac:dyDescent="0.25">
      <c r="A16" t="s">
        <v>21</v>
      </c>
      <c r="B16" t="s">
        <v>22</v>
      </c>
      <c r="C16" s="2">
        <v>4300</v>
      </c>
    </row>
    <row r="17" spans="1:3" x14ac:dyDescent="0.25">
      <c r="A17" t="s">
        <v>23</v>
      </c>
      <c r="C17" s="2">
        <f>SUBTOTAL(109,Expenses[Amount])</f>
        <v>128850</v>
      </c>
    </row>
    <row r="19" spans="1:3" ht="15.5" thickBot="1" x14ac:dyDescent="0.35">
      <c r="A19" s="3" t="s">
        <v>24</v>
      </c>
      <c r="B19" s="3"/>
      <c r="C19" s="4">
        <f>C8-C17</f>
        <v>82000</v>
      </c>
    </row>
    <row r="20" spans="1:3" ht="14" thickTop="1" x14ac:dyDescent="0.25"/>
    <row r="21" spans="1:3" x14ac:dyDescent="0.25">
      <c r="A21" s="6" t="s">
        <v>25</v>
      </c>
      <c r="B21" s="5"/>
      <c r="C21" s="5"/>
    </row>
    <row r="22" spans="1:3" x14ac:dyDescent="0.25">
      <c r="A22" s="5"/>
      <c r="B22" s="5"/>
      <c r="C22" s="5"/>
    </row>
    <row r="23" spans="1:3" x14ac:dyDescent="0.25">
      <c r="A23" s="5"/>
      <c r="B23" s="5"/>
      <c r="C23" s="5"/>
    </row>
    <row r="24" spans="1:3" x14ac:dyDescent="0.25">
      <c r="A24" s="5"/>
      <c r="B24" s="5"/>
      <c r="C24" s="5"/>
    </row>
  </sheetData>
  <mergeCells count="2">
    <mergeCell ref="A21:C24"/>
    <mergeCell ref="B23:D26"/>
  </mergeCells>
  <pageMargins left="0.7" right="0.7" top="0.75" bottom="0.75" header="0.3" footer="0.3"/>
  <pageSetup fitToHeight="0" orientation="portrait" r:id="rId1"/>
  <headerFooter>
    <oddFooter>&amp;CPage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P&amp;L</vt:lpstr>
      <vt:lpstr>'P&amp;L'!Print_Area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2026-09-28T16:01:07Z</dcterms:created>
  <dcterms:modified xsi:type="dcterms:W3CDTF">2026-09-28T16:01:10Z</dcterms:modified>
</cp:coreProperties>
</file>