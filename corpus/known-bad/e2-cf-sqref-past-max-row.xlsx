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flat-table-totals\"/>
    </mc:Choice>
  </mc:AlternateContent>
  <xr:revisionPtr revIDLastSave="0" documentId="8_{92412DB0-EE68-48A6-8436-104D5024790E}" xr6:coauthVersionLast="47" xr6:coauthVersionMax="47" xr10:uidLastSave="{00000000-0000-0000-0000-000000000000}"/>
  <bookViews>
    <workbookView xWindow="2240" yWindow="2470" windowWidth="28800" windowHeight="15910" xr2:uid="{3799F427-7216-469B-9B10-0B7EBCE7D315}"/>
  </bookViews>
  <sheets>
    <sheet name="Invoice" sheetId="1" r:id="rId1"/>
  </sheets>
  <definedNames>
    <definedName name="_xlnm.Print_Area" localSheetId="0">Invoice!$A$1:$F$16</definedName>
    <definedName name="_xlnm.Print_Titles" localSheetId="0">Invoice!$5:$5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F13" i="1"/>
  <c r="D11" i="1"/>
  <c r="F6" i="1"/>
  <c r="F11" i="1" s="1"/>
  <c r="F7" i="1"/>
  <c r="F8" i="1"/>
  <c r="F9" i="1"/>
  <c r="F10" i="1"/>
</calcChain>
</file>

<file path=xl/sharedStrings.xml><?xml version="1.0" encoding="utf-8"?>
<sst xmlns="http://schemas.openxmlformats.org/spreadsheetml/2006/main" count="34" uniqueCount="32">
  <si>
    <t>INVOICE</t>
  </si>
  <si>
    <t>Bill To:</t>
  </si>
  <si>
    <t>{{customerName}}</t>
  </si>
  <si>
    <t>Invoice #</t>
  </si>
  <si>
    <t>INV-2025-0412</t>
  </si>
  <si>
    <t>Invoice Date:</t>
  </si>
  <si>
    <t>{{invoiceDate}}</t>
  </si>
  <si>
    <t>Terms</t>
  </si>
  <si>
    <t>Net 30</t>
  </si>
  <si>
    <t>SKU</t>
  </si>
  <si>
    <t>Description</t>
  </si>
  <si>
    <t>Status</t>
  </si>
  <si>
    <t>Qty</t>
  </si>
  <si>
    <t>UnitPrice</t>
  </si>
  <si>
    <t>Amount</t>
  </si>
  <si>
    <t>WDG-1001</t>
  </si>
  <si>
    <t>Widget, standard (blue)</t>
  </si>
  <si>
    <t>Open</t>
  </si>
  <si>
    <t>WDG-1002</t>
  </si>
  <si>
    <t>Widget, deluxe (brushed steel)</t>
  </si>
  <si>
    <t>Paid</t>
  </si>
  <si>
    <t>BRK-2210</t>
  </si>
  <si>
    <t>Mounting bracket, 90 degree</t>
  </si>
  <si>
    <t>SRV-0100</t>
  </si>
  <si>
    <t>On-site installation (hours)</t>
  </si>
  <si>
    <t>Void</t>
  </si>
  <si>
    <t>SHP-0001</t>
  </si>
  <si>
    <t>Freight &amp; handling</t>
  </si>
  <si>
    <t>Total</t>
  </si>
  <si>
    <t>Tax (8%)</t>
  </si>
  <si>
    <t>Grand Total</t>
  </si>
  <si>
    <t>Thank you for your business. Please remit payment within 30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</si>
</sst>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&quot;$&quot;#,##0.00;[Red]\(&quot;$&quot;#,##0.00\)"/>
  </numFmts>
  <fonts count="5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b/>
      <sz val="26"/>
      <color theme="4" tint="-0.249977111117893"/>
      <name val="Aptos Display"/>
      <family val="2"/>
      <scheme val="major"/>
    </font>
    <font>
      <sz val="11"/>
      <color rgb="FF595959"/>
      <name val="Aptos"/>
      <family val="2"/>
      <scheme val="minor"/>
    </font>
    <font>
      <i/>
      <sz val="11"/>
      <color rgb="FF767676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2" borderId="1" xfId="0" applyFont="1" applyFill="1" applyBorder="1" applyAlignment="1">
      <alignment horizontal="right"/>
    </xf>
    <xf numFmtId="165" fontId="1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9">
    <dxf>
      <font>
        <b/>
        <i val="0"/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165" formatCode="&quot;$&quot;#,##0.00;[Red]\(&quot;$&quot;#,##0.00\)"/>
    </dxf>
    <dxf>
      <numFmt numFmtId="3" formatCode="#,##0"/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095B8-9843-4ACD-A34C-36BFCED9201E}" name="Items" displayName="Items" ref="A5:F11" totalsRowCount="1" tableBorderDxfId="8">
  <autoFilter ref="A5:F10" xr:uid="{4EA095B8-9843-4ACD-A34C-36BFCED9201E}"/>
  <tableColumns count="6">
    <tableColumn id="1" xr3:uid="{94E3D0BA-46BB-4BC3-8D97-F3AEE6198E9B}" name="SKU" totalsRowLabel="Total"/>
    <tableColumn id="2" xr3:uid="{4DDFD157-5984-4294-B342-8245AAA33290}" name="Description"/>
    <tableColumn id="3" xr3:uid="{031B49DE-E515-4944-B39A-43A04B39AE69}" name="Status" dataDxfId="1"/>
    <tableColumn id="4" xr3:uid="{C5775B26-0ED7-49F4-8EE0-0DCD923D4835}" name="Qty" totalsRowFunction="sum" dataDxfId="2" totalsRowDxfId="7"/>
    <tableColumn id="5" xr3:uid="{E572A60A-E88A-4C86-AEB2-6CB956F39135}" name="UnitPrice" dataDxfId="5" totalsRowDxfId="6"/>
    <tableColumn id="6" xr3:uid="{5F7D8B09-8D64-41CD-99F7-2C694D7C6328}" name="Amount" totalsRowFunction="sum" dataDxfId="4" totalsRowDxfId="3">
      <calculatedColumnFormula>Items[[#This Row],[Qty]]*Items[[#This Row],[UnitPrice]]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Them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6995-9F6E-4522-A9AF-6EBF300ACBEE}">
  <sheetPr>
    <pageSetUpPr fitToPage="1"/>
  </sheetPr>
  <dimension ref="A1:F1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4.5" x14ac:dyDescent="0.35"/>
  <cols>
    <col min="1" max="1" width="14.58203125" customWidth="1"/>
    <col min="2" max="2" width="34.58203125" customWidth="1"/>
    <col min="3" max="3" width="10.58203125" customWidth="1"/>
    <col min="4" max="4" width="9.58203125" customWidth="1"/>
    <col min="5" max="5" width="14.58203125" customWidth="1"/>
    <col min="6" max="6" width="15.58203125" customWidth="1"/>
  </cols>
  <sheetData>
    <row r="1" spans="1:6" ht="34.5" x14ac:dyDescent="0.8">
      <c r="A1" s="1" t="s">
        <v>0</v>
      </c>
    </row>
    <row r="2" spans="1:6" x14ac:dyDescent="0.35">
      <c r="A2" s="2" t="s">
        <v>1</v>
      </c>
      <c r="B2" s="4" t="s">
        <v>2</v>
      </c>
      <c r="E2" s="3" t="s">
        <v>3</v>
      </c>
      <c r="F2" t="s">
        <v>4</v>
      </c>
    </row>
    <row r="3" spans="1:6" x14ac:dyDescent="0.35">
      <c r="A3" s="2" t="s">
        <v>5</v>
      </c>
      <c r="B3" s="5" t="s">
        <v>6</v>
      </c>
      <c r="E3" s="3" t="s">
        <v>7</v>
      </c>
      <c r="F3" t="s">
        <v>8</v>
      </c>
    </row>
    <row r="4" spans="1:6" x14ac:dyDescent="0.35">
      <c r="A4" s="6"/>
      <c r="B4" s="6"/>
      <c r="C4" s="6"/>
      <c r="D4" s="6"/>
      <c r="E4" s="6"/>
      <c r="F4" s="6"/>
    </row>
    <row r="5" spans="1:6" x14ac:dyDescent="0.35">
      <c r="A5" t="s">
        <v>9</v>
      </c>
      <c r="B5" t="s">
        <v>10</v>
      </c>
      <c r="C5" t="s">
        <v>11</v>
      </c>
      <c r="D5" s="7" t="s">
        <v>12</v>
      </c>
      <c r="E5" s="8" t="s">
        <v>13</v>
      </c>
      <c r="F5" s="8" t="s">
        <v>14</v>
      </c>
    </row>
    <row r="6" spans="1:6" x14ac:dyDescent="0.35">
      <c r="A6" t="s">
        <v>15</v>
      </c>
      <c r="B6" t="s">
        <v>16</v>
      </c>
      <c r="C6" s="9" t="s">
        <v>17</v>
      </c>
      <c r="D6" s="7">
        <v>120</v>
      </c>
      <c r="E6" s="8">
        <v>4.25</v>
      </c>
      <c r="F6" s="8">
        <f>Items[[#This Row],[Qty]]*Items[[#This Row],[UnitPrice]]</f>
        <v>510</v>
      </c>
    </row>
    <row r="7" spans="1:6" x14ac:dyDescent="0.35">
      <c r="A7" t="s">
        <v>18</v>
      </c>
      <c r="B7" t="s">
        <v>19</v>
      </c>
      <c r="C7" s="9" t="s">
        <v>20</v>
      </c>
      <c r="D7" s="7">
        <v>36</v>
      </c>
      <c r="E7" s="8">
        <v>12.5</v>
      </c>
      <c r="F7" s="8">
        <f>Items[[#This Row],[Qty]]*Items[[#This Row],[UnitPrice]]</f>
        <v>450</v>
      </c>
    </row>
    <row r="8" spans="1:6" x14ac:dyDescent="0.35">
      <c r="A8" t="s">
        <v>21</v>
      </c>
      <c r="B8" t="s">
        <v>22</v>
      </c>
      <c r="C8" s="9" t="s">
        <v>17</v>
      </c>
      <c r="D8" s="7">
        <v>240</v>
      </c>
      <c r="E8" s="8">
        <v>1.1499999999999999</v>
      </c>
      <c r="F8" s="8">
        <f>Items[[#This Row],[Qty]]*Items[[#This Row],[UnitPrice]]</f>
        <v>276</v>
      </c>
    </row>
    <row r="9" spans="1:6" x14ac:dyDescent="0.35">
      <c r="A9" t="s">
        <v>23</v>
      </c>
      <c r="B9" t="s">
        <v>24</v>
      </c>
      <c r="C9" s="9" t="s">
        <v>25</v>
      </c>
      <c r="D9" s="7">
        <v>6</v>
      </c>
      <c r="E9" s="8">
        <v>95</v>
      </c>
      <c r="F9" s="8">
        <f>Items[[#This Row],[Qty]]*Items[[#This Row],[UnitPrice]]</f>
        <v>570</v>
      </c>
    </row>
    <row r="10" spans="1:6" x14ac:dyDescent="0.35">
      <c r="A10" t="s">
        <v>26</v>
      </c>
      <c r="B10" t="s">
        <v>27</v>
      </c>
      <c r="C10" s="9" t="s">
        <v>20</v>
      </c>
      <c r="D10" s="7">
        <v>1</v>
      </c>
      <c r="E10" s="8">
        <v>48.9</v>
      </c>
      <c r="F10" s="8">
        <f>Items[[#This Row],[Qty]]*Items[[#This Row],[UnitPrice]]</f>
        <v>48.9</v>
      </c>
    </row>
    <row r="11" spans="1:6" x14ac:dyDescent="0.35">
      <c r="A11" t="s">
        <v>28</v>
      </c>
      <c r="D11" s="7">
        <f>SUBTOTAL(109,Items[Qty])</f>
        <v>403</v>
      </c>
      <c r="E11" s="8"/>
      <c r="F11" s="8">
        <f>SUBTOTAL(109,Items[Amount])</f>
        <v>1854.9</v>
      </c>
    </row>
    <row r="13" spans="1:6" x14ac:dyDescent="0.35">
      <c r="E13" s="3" t="s">
        <v>29</v>
      </c>
      <c r="F13" s="10">
        <f>Items[[#Totals],[Amount]]*0.08</f>
        <v>148.39200000000002</v>
      </c>
    </row>
    <row r="14" spans="1:6" ht="15" thickBot="1" x14ac:dyDescent="0.4">
      <c r="E14" s="11" t="s">
        <v>30</v>
      </c>
      <c r="F14" s="12">
        <f>F13+F11</f>
        <v>2003.2920000000001</v>
      </c>
    </row>
    <row r="15" spans="1:6" ht="15" thickTop="1" x14ac:dyDescent="0.35"/>
    <row r="16" spans="1:6" x14ac:dyDescent="0.35">
      <c r="A16" s="13" t="s">
        <v>31</v>
      </c>
    </row>
  </sheetData>
  <conditionalFormatting sqref="F6:F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{09D810D3-E487-421A-A52D-F912873DD22B}</x14:id>
        </ext>
      </extLst>
    </cfRule>
  </conditionalFormatting>
  <conditionalFormatting sqref="D6:D1048577">
    <cfRule type="expression" dxfId="0" priority="2" stopIfTrue="1">
      <formula>$D6&gt;100</formula>
    </cfRule>
  </conditionalFormatting>
  <dataValidations count="1">
    <dataValidation type="list" allowBlank="1" showInputMessage="1" showErrorMessage="1" sqref="C6:C10" xr:uid="{E6D87D57-50D0-456D-A23D-F0999CA395F5}">
      <formula1>"Open,Paid,Void"</formula1>
    </dataValidation>
  </dataValidations>
  <pageMargins left="0.7" right="0.7" top="0.75" bottom="0.75" header="0.3" footer="0.3"/>
  <pageSetup scale="87" fitToHeight="0" orientation="portrait" r:id="rId1"/>
  <headerFooter>
    <oddFooter>&amp;CPage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810D3-E487-421A-A52D-F912873DD22B}">
            <x14:dataBar minLength="0" maxLength="100" negativeBarColorSameAsPositive="1" axisPosition="none">
              <x14:cfvo type="min"/>
              <x14:cfvo type="max"/>
            </x14:dataBar>
          </x14:cfRule>
          <xm:sqref>F6:F10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Invoice!Print_Area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2026-09-28T16:00:38Z</dcterms:created>
  <dcterms:modified xsi:type="dcterms:W3CDTF">2026-09-28T16:00:41Z</dcterms:modified>
</cp:coreProperties>
</file>