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incurred-cost\"/>
    </mc:Choice>
  </mc:AlternateContent>
  <xr:revisionPtr revIDLastSave="0" documentId="8_{3C9A1567-4737-493C-AA01-64D344522111}" xr6:coauthVersionLast="47" xr6:coauthVersionMax="47" xr10:uidLastSave="{00000000-0000-0000-0000-000000000000}"/>
  <bookViews>
    <workbookView xWindow="2240" yWindow="2470" windowWidth="28800" windowHeight="15910" xr2:uid="{C05344DF-DDB8-4915-9AF2-BF8468360296}"/>
  </bookViews>
  <sheets>
    <sheet name="Cover" sheetId="1" r:id="rId1"/>
    <sheet name="Direct Labor" sheetId="2" r:id="rId2"/>
    <sheet name="Indirect Pools" sheetId="3" r:id="rId3"/>
    <sheet name="Rates" sheetId="4" r:id="rId4"/>
  </sheets>
  <definedNames>
    <definedName name="ContractorName">Cover!$B$5</definedName>
    <definedName name="FiscalYearEnd">Cover!$B$6</definedName>
    <definedName name="FringeRate">'Indirect Pools'!$C$5/'Direct Labor'!$F$11</definedName>
    <definedName name="GARate">'Indirect Pools'!$C$13/('Direct Labor'!$F$11+'Indirect Pools'!$C$5+'Indirect Pools'!$C$9)</definedName>
    <definedName name="IndirectPools">'Indirect Pools'!$A$5:$D$17</definedName>
    <definedName name="OverheadRate">'Indirect Pools'!$C$9/'Direct Labor'!$F$11</definedName>
    <definedName name="PreparedBy">Cover!$B$7</definedName>
    <definedName name="_xlnm.Print_Area" localSheetId="1">'Direct Labor'!$A$1:$F$11</definedName>
    <definedName name="_xlnm.Print_Titles" localSheetId="1">'Direct Labor'!$4:$4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4" l="1"/>
  <c r="F5" i="4"/>
  <c r="F6" i="4"/>
  <c r="F7" i="4"/>
  <c r="D7" i="4"/>
  <c r="C7" i="4"/>
  <c r="B7" i="4"/>
  <c r="D6" i="4"/>
  <c r="C6" i="4"/>
  <c r="B6" i="4"/>
  <c r="D5" i="4"/>
  <c r="C5" i="4"/>
  <c r="B5" i="4"/>
  <c r="A2" i="4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C17" i="3"/>
  <c r="C13" i="3"/>
  <c r="C9" i="3"/>
  <c r="C5" i="3"/>
  <c r="A2" i="3"/>
  <c r="D11" i="2"/>
  <c r="F5" i="2"/>
  <c r="F11" i="2" s="1"/>
  <c r="F6" i="2"/>
  <c r="F7" i="2"/>
  <c r="F8" i="2"/>
  <c r="F9" i="2"/>
  <c r="F10" i="2"/>
  <c r="A2" i="2"/>
</calcChain>
</file>

<file path=xl/sharedStrings.xml><?xml version="1.0" encoding="utf-8"?>
<sst xmlns="http://schemas.openxmlformats.org/spreadsheetml/2006/main" count="65" uniqueCount="58">
  <si>
    <t>Incurred Cost Electronic Submission</t>
  </si>
  <si>
    <t>Prepared in accordance with FAR 52.216-7(d)(2) - Schedules H, H-1 and supporting pools</t>
  </si>
  <si>
    <t>Contractor</t>
  </si>
  <si>
    <t>Northwind Defense Systems, Inc.</t>
  </si>
  <si>
    <t>Fiscal year end</t>
  </si>
  <si>
    <t>Prepared by</t>
  </si>
  <si>
    <t>J. Alvarez, Controller</t>
  </si>
  <si>
    <t>Submission date</t>
  </si>
  <si>
    <t>{{submissionDate}}</t>
  </si>
  <si>
    <t>Yellow cells are inputs. All other cells are protected.</t>
  </si>
  <si>
    <t>Schedule: Direct Labor by Employee</t>
  </si>
  <si>
    <t>Employee</t>
  </si>
  <si>
    <t>LaborCategory</t>
  </si>
  <si>
    <t>Project</t>
  </si>
  <si>
    <t>Hours</t>
  </si>
  <si>
    <t>Rate</t>
  </si>
  <si>
    <t>Cost</t>
  </si>
  <si>
    <t>Maria Chen</t>
  </si>
  <si>
    <t>Senior Engineer</t>
  </si>
  <si>
    <t>W56HZV-24-C-0112</t>
  </si>
  <si>
    <t>David Okafor</t>
  </si>
  <si>
    <t>Systems Analyst</t>
  </si>
  <si>
    <t>Priya Raman</t>
  </si>
  <si>
    <t>Program Manager</t>
  </si>
  <si>
    <t>FA8650-23-D-2040</t>
  </si>
  <si>
    <t>Tom Lindqvist</t>
  </si>
  <si>
    <t>Test Technician</t>
  </si>
  <si>
    <t>Angela Ruiz</t>
  </si>
  <si>
    <t>Software Engineer II</t>
  </si>
  <si>
    <t>N00024-25-C-5301</t>
  </si>
  <si>
    <t>Kevin Brandt</t>
  </si>
  <si>
    <t>Technical Writer</t>
  </si>
  <si>
    <t>Total</t>
  </si>
  <si>
    <t>Schedule: Indirect Expense Pools</t>
  </si>
  <si>
    <t>Account</t>
  </si>
  <si>
    <t>Description</t>
  </si>
  <si>
    <t>Amount</t>
  </si>
  <si>
    <t>Share of Total</t>
  </si>
  <si>
    <t>Fringe</t>
  </si>
  <si>
    <t>Employer FICA / Medicare</t>
  </si>
  <si>
    <t>Group health insurance</t>
  </si>
  <si>
    <t>401(k) employer match</t>
  </si>
  <si>
    <t>Overhead</t>
  </si>
  <si>
    <t>Facilities rent</t>
  </si>
  <si>
    <t>Utilities</t>
  </si>
  <si>
    <t>Indirect labor - engineering support</t>
  </si>
  <si>
    <t>G&amp;A</t>
  </si>
  <si>
    <t>Executive salaries</t>
  </si>
  <si>
    <t>Accounting &amp; legal</t>
  </si>
  <si>
    <t>General liability insurance</t>
  </si>
  <si>
    <t>Total Indirect Pools</t>
  </si>
  <si>
    <t>Schedule: Indirect Rate Computation</t>
  </si>
  <si>
    <t>Pool Costs</t>
  </si>
  <si>
    <t>Allocation Base</t>
  </si>
  <si>
    <t>FY2025 Rate</t>
  </si>
  <si>
    <t>FY2024 Rate</t>
  </si>
  <si>
    <t>Change</t>
  </si>
  <si>
    <t>Direct labor per table (structured)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</si>
</sst>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mmmm\ d\,\ yyyy"/>
    <numFmt numFmtId="165" formatCode="#,##0.0"/>
    <numFmt numFmtId="166" formatCode="0.0%"/>
    <numFmt numFmtId="167" formatCode="_(&quot;$&quot;* #,##0_);_(&quot;$&quot;* \(#,##0\);_(&quot;$&quot;* &quot;-&quot;??_);_(@_)"/>
    <numFmt numFmtId="168" formatCode="\+0.00%;\-0.00%;0.00%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4" tint="-0.249977111117893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sz val="9"/>
      <color rgb="FF767676"/>
      <name val="Calibri"/>
      <family val="2"/>
      <scheme val="minor"/>
    </font>
    <font>
      <b/>
      <sz val="16"/>
      <color theme="4" tint="-0.249977111117893"/>
      <name val="Calibri Light"/>
      <family val="2"/>
      <scheme val="major"/>
    </font>
    <font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/>
    <xf numFmtId="0" fontId="3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5" fontId="0" fillId="0" borderId="0" xfId="0" applyNumberFormat="1"/>
    <xf numFmtId="44" fontId="0" fillId="0" borderId="0" xfId="0" applyNumberFormat="1"/>
    <xf numFmtId="0" fontId="1" fillId="3" borderId="0" xfId="0" applyFont="1" applyFill="1"/>
    <xf numFmtId="0" fontId="2" fillId="4" borderId="0" xfId="0" applyFont="1" applyFill="1"/>
    <xf numFmtId="0" fontId="1" fillId="5" borderId="2" xfId="0" applyFont="1" applyFill="1" applyBorder="1"/>
    <xf numFmtId="0" fontId="0" fillId="0" borderId="0" xfId="0" applyAlignment="1">
      <alignment horizontal="left" indent="1"/>
    </xf>
    <xf numFmtId="0" fontId="2" fillId="4" borderId="0" xfId="0" applyFont="1" applyFill="1" applyAlignment="1">
      <alignment horizontal="left"/>
    </xf>
    <xf numFmtId="0" fontId="1" fillId="5" borderId="2" xfId="0" applyFont="1" applyFill="1" applyBorder="1" applyAlignment="1">
      <alignment horizontal="left"/>
    </xf>
    <xf numFmtId="44" fontId="2" fillId="4" borderId="0" xfId="0" applyNumberFormat="1" applyFont="1" applyFill="1"/>
    <xf numFmtId="44" fontId="1" fillId="5" borderId="2" xfId="0" applyNumberFormat="1" applyFont="1" applyFill="1" applyBorder="1"/>
    <xf numFmtId="166" fontId="2" fillId="4" borderId="0" xfId="0" applyNumberFormat="1" applyFont="1" applyFill="1"/>
    <xf numFmtId="166" fontId="0" fillId="0" borderId="0" xfId="0" applyNumberFormat="1"/>
    <xf numFmtId="166" fontId="1" fillId="5" borderId="2" xfId="0" applyNumberFormat="1" applyFont="1" applyFill="1" applyBorder="1"/>
    <xf numFmtId="0" fontId="4" fillId="0" borderId="0" xfId="0" applyFont="1"/>
    <xf numFmtId="0" fontId="1" fillId="3" borderId="0" xfId="0" applyFont="1" applyFill="1" applyAlignment="1">
      <alignment horizont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67" fontId="0" fillId="0" borderId="3" xfId="0" applyNumberFormat="1" applyBorder="1"/>
    <xf numFmtId="167" fontId="0" fillId="0" borderId="4" xfId="0" applyNumberFormat="1" applyBorder="1"/>
    <xf numFmtId="167" fontId="0" fillId="0" borderId="5" xfId="0" applyNumberFormat="1" applyBorder="1"/>
    <xf numFmtId="167" fontId="0" fillId="0" borderId="0" xfId="0" applyNumberFormat="1"/>
    <xf numFmtId="10" fontId="0" fillId="0" borderId="3" xfId="0" applyNumberFormat="1" applyBorder="1"/>
    <xf numFmtId="10" fontId="0" fillId="0" borderId="4" xfId="0" applyNumberFormat="1" applyBorder="1"/>
    <xf numFmtId="10" fontId="0" fillId="0" borderId="5" xfId="0" applyNumberFormat="1" applyBorder="1"/>
    <xf numFmtId="168" fontId="0" fillId="0" borderId="3" xfId="0" applyNumberFormat="1" applyBorder="1"/>
    <xf numFmtId="168" fontId="0" fillId="0" borderId="4" xfId="0" applyNumberFormat="1" applyBorder="1"/>
    <xf numFmtId="168" fontId="0" fillId="0" borderId="5" xfId="0" applyNumberFormat="1" applyBorder="1"/>
    <xf numFmtId="10" fontId="0" fillId="2" borderId="3" xfId="0" applyNumberFormat="1" applyFill="1" applyBorder="1"/>
    <xf numFmtId="10" fontId="0" fillId="2" borderId="4" xfId="0" applyNumberFormat="1" applyFill="1" applyBorder="1"/>
    <xf numFmtId="10" fontId="0" fillId="2" borderId="5" xfId="0" applyNumberFormat="1" applyFill="1" applyBorder="1"/>
    <xf numFmtId="0" fontId="0" fillId="2" borderId="1" xfId="0" applyFill="1" applyBorder="1" applyProtection="1">
      <protection locked="0"/>
    </xf>
    <xf numFmtId="164" fontId="0" fillId="2" borderId="1" xfId="0" applyNumberFormat="1" applyFill="1" applyBorder="1" applyAlignment="1" applyProtection="1">
      <alignment horizontal="left"/>
      <protection locked="0"/>
    </xf>
  </cellXfs>
  <cellStyles count="1">
    <cellStyle name="Normal" xfId="0" builtinId="0"/>
  </cellStyles>
  <dxfs count="6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#,##0.0"/>
    </dxf>
    <dxf>
      <numFmt numFmtId="165" formatCode="#,##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Indirect rates, current vs prior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Rates!$D$4</c:f>
              <c:strCache>
                <c:ptCount val="1"/>
                <c:pt idx="0">
                  <c:v>FY2025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Rates!$A$5:$A$7</c:f>
              <c:strCache>
                <c:ptCount val="3"/>
                <c:pt idx="0">
                  <c:v>Fringe</c:v>
                </c:pt>
                <c:pt idx="1">
                  <c:v>Overhead</c:v>
                </c:pt>
                <c:pt idx="2">
                  <c:v>G&amp;A</c:v>
                </c:pt>
              </c:strCache>
            </c:strRef>
          </c:cat>
          <c:val>
            <c:numRef>
              <c:f>Rates!$D$5:$D$7</c:f>
              <c:numCache>
                <c:formatCode>0.00%</c:formatCode>
                <c:ptCount val="3"/>
                <c:pt idx="0">
                  <c:v>0.31738247307466372</c:v>
                </c:pt>
                <c:pt idx="1">
                  <c:v>0.85028985939012269</c:v>
                </c:pt>
                <c:pt idx="2">
                  <c:v>0.14117250709474663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8-4F2F-927F-EC8D77E3B4DF}"/>
            </c:ext>
          </c:extLst>
        </c:ser>
        <c:ser>
          <c:idx val="1"/>
          <c:order val="1"/>
          <c:tx>
            <c:strRef>
              <c:f>Rates!$E$4</c:f>
              <c:strCache>
                <c:ptCount val="1"/>
                <c:pt idx="0">
                  <c:v>FY2024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Rates!$A$5:$A$7</c:f>
              <c:strCache>
                <c:ptCount val="3"/>
                <c:pt idx="0">
                  <c:v>Fringe</c:v>
                </c:pt>
                <c:pt idx="1">
                  <c:v>Overhead</c:v>
                </c:pt>
                <c:pt idx="2">
                  <c:v>G&amp;A</c:v>
                </c:pt>
              </c:strCache>
            </c:strRef>
          </c:cat>
          <c:val>
            <c:numRef>
              <c:f>Rates!$E$5:$E$7</c:f>
              <c:numCache>
                <c:formatCode>0.00%</c:formatCode>
                <c:ptCount val="3"/>
                <c:pt idx="0">
                  <c:v>0.312</c:v>
                </c:pt>
                <c:pt idx="1">
                  <c:v>0.874</c:v>
                </c:pt>
                <c:pt idx="2">
                  <c:v>0.13900000000000001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48-4F2F-927F-EC8D77E3B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4301664"/>
        <c:axId val="1451544623"/>
      </c:barChart>
      <c:catAx>
        <c:axId val="774301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44623"/>
        <c:crosses val="autoZero"/>
        <c:auto val="1"/>
        <c:lblAlgn val="ctr"/>
        <c:lblOffset val="100"/>
        <c:noMultiLvlLbl val="0"/>
      </c:catAx>
      <c:valAx>
        <c:axId val="145154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30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336550</xdr:colOff>
      <xdr:row>25</xdr:row>
      <xdr:rowOff>31750</xdr:rowOff>
    </xdr:to>
    <xdr:graphicFrame macro="">
      <xdr:nvGraphicFramePr>
        <xdr:cNvPr id="2" name="RatesChart">
          <a:extLst>
            <a:ext uri="{FF2B5EF4-FFF2-40B4-BE49-F238E27FC236}">
              <a16:creationId xmlns:a16="http://schemas.microsoft.com/office/drawing/2014/main" id="{35855EB1-E5F1-0918-253D-4A0CD8BE2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7FF9EB-CECB-483A-8748-78303EF1213B}" name="DirectLabor" displayName="DirectLabor" ref="A4:F11" totalsRowCount="1">
  <autoFilter ref="A4:F10" xr:uid="{817FF9EB-CECB-483A-8748-78303EF1213B}"/>
  <tableColumns count="6">
    <tableColumn id="1" xr3:uid="{1FA67AE5-7126-4647-AA6D-CD4C29137287}" name="Employee" totalsRowLabel="Total"/>
    <tableColumn id="2" xr3:uid="{84CCCAD7-4975-4CE5-876C-D6BA941F11C3}" name="LaborCategory"/>
    <tableColumn id="3" xr3:uid="{1CF75557-1517-4BBF-BF77-D96CB0B8D58E}" name="Project"/>
    <tableColumn id="4" xr3:uid="{191CDE0A-953A-4C98-A294-20E0604F030B}" name="Hours" totalsRowFunction="sum" dataDxfId="4" totalsRowDxfId="5"/>
    <tableColumn id="5" xr3:uid="{93531859-296A-4E4D-8FDA-8E4026BBB71C}" name="Rate" dataDxfId="2" totalsRowDxfId="3"/>
    <tableColumn id="6" xr3:uid="{A292CCA6-CDA5-46ED-9093-EF2A333F76F3}" name="Cost" totalsRowFunction="sum" dataDxfId="1" totalsRowDxfId="0">
      <calculatedColumnFormula>DirectLabor[[#This Row],[Hours]]*DirectLabor[[#This Row],[Rate]]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 Them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ED1B-8DE3-4E1C-96B9-20DA4911DAAB}">
  <dimension ref="A1:D10"/>
  <sheetViews>
    <sheetView showGridLines="0" tabSelected="1" workbookViewId="0">
      <selection sqref="A1:D1"/>
    </sheetView>
  </sheetViews>
  <sheetFormatPr defaultRowHeight="14.5" x14ac:dyDescent="0.35"/>
  <cols>
    <col min="1" max="1" width="20.6328125" customWidth="1"/>
    <col min="2" max="2" width="40.6328125" customWidth="1"/>
    <col min="3" max="4" width="12.6328125" customWidth="1"/>
  </cols>
  <sheetData>
    <row r="1" spans="1:4" ht="36" customHeight="1" x14ac:dyDescent="0.65">
      <c r="A1" s="2" t="s">
        <v>0</v>
      </c>
      <c r="B1" s="1"/>
      <c r="C1" s="1"/>
      <c r="D1" s="1"/>
    </row>
    <row r="2" spans="1:4" x14ac:dyDescent="0.35">
      <c r="A2" s="3" t="s">
        <v>1</v>
      </c>
      <c r="B2" s="1"/>
      <c r="C2" s="1"/>
      <c r="D2" s="1"/>
    </row>
    <row r="5" spans="1:4" x14ac:dyDescent="0.35">
      <c r="A5" s="4" t="s">
        <v>2</v>
      </c>
      <c r="B5" s="39" t="s">
        <v>3</v>
      </c>
    </row>
    <row r="6" spans="1:4" x14ac:dyDescent="0.35">
      <c r="A6" s="4" t="s">
        <v>4</v>
      </c>
      <c r="B6" s="40">
        <v>46022</v>
      </c>
    </row>
    <row r="7" spans="1:4" x14ac:dyDescent="0.35">
      <c r="A7" s="4" t="s">
        <v>5</v>
      </c>
      <c r="B7" s="39" t="s">
        <v>6</v>
      </c>
    </row>
    <row r="8" spans="1:4" x14ac:dyDescent="0.35">
      <c r="A8" s="4" t="s">
        <v>7</v>
      </c>
      <c r="B8" s="39" t="s">
        <v>8</v>
      </c>
    </row>
    <row r="10" spans="1:4" x14ac:dyDescent="0.35">
      <c r="A10" s="5" t="s">
        <v>9</v>
      </c>
    </row>
  </sheetData>
  <sheetProtection sheet="1" objects="1" scenarios="1"/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7E6D8-6A80-43B5-9856-F8AB2D77BF88}">
  <sheetPr>
    <pageSetUpPr fitToPage="1"/>
  </sheetPr>
  <dimension ref="A1:F11"/>
  <sheetViews>
    <sheetView workbookViewId="0">
      <pane xSplit="1" ySplit="4" topLeftCell="B5" activePane="bottomRight" state="frozenSplit"/>
      <selection pane="bottomLeft" activeCell="A5" sqref="A5"/>
      <selection pane="topRight" activeCell="B1" sqref="B1"/>
      <selection pane="bottomRight"/>
    </sheetView>
  </sheetViews>
  <sheetFormatPr defaultRowHeight="14.5" x14ac:dyDescent="0.35"/>
  <cols>
    <col min="1" max="1" width="18.6328125" customWidth="1"/>
    <col min="2" max="2" width="22.6328125" customWidth="1"/>
    <col min="3" max="3" width="20.6328125" customWidth="1"/>
    <col min="4" max="4" width="10.6328125" customWidth="1"/>
    <col min="5" max="5" width="12.6328125" customWidth="1"/>
    <col min="6" max="6" width="16.6328125" customWidth="1"/>
  </cols>
  <sheetData>
    <row r="1" spans="1:6" ht="21" x14ac:dyDescent="0.5">
      <c r="A1" s="6" t="s">
        <v>10</v>
      </c>
    </row>
    <row r="2" spans="1:6" x14ac:dyDescent="0.35">
      <c r="A2" s="7" t="str">
        <f>ContractorName&amp;" - FYE "&amp;TEXT(FiscalYearEnd,"mm/dd/yyyy")</f>
        <v>Northwind Defense Systems, Inc. - FYE 12/31/2025</v>
      </c>
    </row>
    <row r="4" spans="1:6" x14ac:dyDescent="0.35">
      <c r="A4" t="s">
        <v>11</v>
      </c>
      <c r="B4" t="s">
        <v>12</v>
      </c>
      <c r="C4" t="s">
        <v>13</v>
      </c>
      <c r="D4" s="8" t="s">
        <v>14</v>
      </c>
      <c r="E4" s="9" t="s">
        <v>15</v>
      </c>
      <c r="F4" s="9" t="s">
        <v>16</v>
      </c>
    </row>
    <row r="5" spans="1:6" x14ac:dyDescent="0.35">
      <c r="A5" t="s">
        <v>17</v>
      </c>
      <c r="B5" t="s">
        <v>18</v>
      </c>
      <c r="C5" t="s">
        <v>19</v>
      </c>
      <c r="D5" s="8">
        <v>1880</v>
      </c>
      <c r="E5" s="9">
        <v>72.5</v>
      </c>
      <c r="F5" s="9">
        <f>DirectLabor[[#This Row],[Hours]]*DirectLabor[[#This Row],[Rate]]</f>
        <v>136300</v>
      </c>
    </row>
    <row r="6" spans="1:6" x14ac:dyDescent="0.35">
      <c r="A6" t="s">
        <v>20</v>
      </c>
      <c r="B6" t="s">
        <v>21</v>
      </c>
      <c r="C6" t="s">
        <v>19</v>
      </c>
      <c r="D6" s="8">
        <v>1920</v>
      </c>
      <c r="E6" s="9">
        <v>58.25</v>
      </c>
      <c r="F6" s="9">
        <f>DirectLabor[[#This Row],[Hours]]*DirectLabor[[#This Row],[Rate]]</f>
        <v>111840</v>
      </c>
    </row>
    <row r="7" spans="1:6" x14ac:dyDescent="0.35">
      <c r="A7" t="s">
        <v>22</v>
      </c>
      <c r="B7" t="s">
        <v>23</v>
      </c>
      <c r="C7" t="s">
        <v>24</v>
      </c>
      <c r="D7" s="8">
        <v>1760</v>
      </c>
      <c r="E7" s="9">
        <v>81</v>
      </c>
      <c r="F7" s="9">
        <f>DirectLabor[[#This Row],[Hours]]*DirectLabor[[#This Row],[Rate]]</f>
        <v>142560</v>
      </c>
    </row>
    <row r="8" spans="1:6" x14ac:dyDescent="0.35">
      <c r="A8" t="s">
        <v>25</v>
      </c>
      <c r="B8" t="s">
        <v>26</v>
      </c>
      <c r="C8" t="s">
        <v>24</v>
      </c>
      <c r="D8" s="8">
        <v>2010</v>
      </c>
      <c r="E8" s="9">
        <v>39.75</v>
      </c>
      <c r="F8" s="9">
        <f>DirectLabor[[#This Row],[Hours]]*DirectLabor[[#This Row],[Rate]]</f>
        <v>79897.5</v>
      </c>
    </row>
    <row r="9" spans="1:6" x14ac:dyDescent="0.35">
      <c r="A9" t="s">
        <v>27</v>
      </c>
      <c r="B9" t="s">
        <v>28</v>
      </c>
      <c r="C9" t="s">
        <v>29</v>
      </c>
      <c r="D9" s="8">
        <v>1840</v>
      </c>
      <c r="E9" s="9">
        <v>64.099999999999994</v>
      </c>
      <c r="F9" s="9">
        <f>DirectLabor[[#This Row],[Hours]]*DirectLabor[[#This Row],[Rate]]</f>
        <v>117943.99999999999</v>
      </c>
    </row>
    <row r="10" spans="1:6" x14ac:dyDescent="0.35">
      <c r="A10" t="s">
        <v>30</v>
      </c>
      <c r="B10" t="s">
        <v>31</v>
      </c>
      <c r="C10" t="s">
        <v>29</v>
      </c>
      <c r="D10" s="8">
        <v>1500</v>
      </c>
      <c r="E10" s="9">
        <v>44</v>
      </c>
      <c r="F10" s="9">
        <f>DirectLabor[[#This Row],[Hours]]*DirectLabor[[#This Row],[Rate]]</f>
        <v>66000</v>
      </c>
    </row>
    <row r="11" spans="1:6" x14ac:dyDescent="0.35">
      <c r="A11" t="s">
        <v>32</v>
      </c>
      <c r="D11" s="8">
        <f>SUBTOTAL(109,DirectLabor[Hours])</f>
        <v>10910</v>
      </c>
      <c r="E11" s="9"/>
      <c r="F11" s="9">
        <f>SUBTOTAL(109,DirectLabor[Cost])</f>
        <v>654541.5</v>
      </c>
    </row>
  </sheetData>
  <pageMargins left="0.7" right="0.7" top="0.75" bottom="0.75" header="0.3" footer="0.3"/>
  <pageSetup fitToHeight="0" orientation="landscape" r:id="rId1"/>
  <headerFooter>
    <oddFooter>&amp;CPage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3D65-1E32-447E-8FF5-74EFEF4D4D92}">
  <sheetPr>
    <pageSetUpPr fitToPage="1"/>
  </sheetPr>
  <dimension ref="A1:D18"/>
  <sheetViews>
    <sheetView showGridLines="0" workbookViewId="0"/>
  </sheetViews>
  <sheetFormatPr defaultRowHeight="14.5" x14ac:dyDescent="0.35"/>
  <cols>
    <col min="1" max="1" width="22.6328125" customWidth="1"/>
    <col min="2" max="2" width="38.6328125" customWidth="1"/>
    <col min="3" max="3" width="16.6328125" customWidth="1"/>
    <col min="4" max="4" width="14.6328125" customWidth="1"/>
  </cols>
  <sheetData>
    <row r="1" spans="1:4" ht="21" x14ac:dyDescent="0.5">
      <c r="A1" s="6" t="s">
        <v>33</v>
      </c>
    </row>
    <row r="2" spans="1:4" x14ac:dyDescent="0.35">
      <c r="A2" s="7" t="str">
        <f>ContractorName</f>
        <v>Northwind Defense Systems, Inc.</v>
      </c>
    </row>
    <row r="4" spans="1:4" x14ac:dyDescent="0.35">
      <c r="A4" s="10" t="s">
        <v>34</v>
      </c>
      <c r="B4" s="10" t="s">
        <v>35</v>
      </c>
      <c r="C4" s="10" t="s">
        <v>36</v>
      </c>
      <c r="D4" s="10" t="s">
        <v>37</v>
      </c>
    </row>
    <row r="5" spans="1:4" x14ac:dyDescent="0.35">
      <c r="A5" s="14" t="s">
        <v>38</v>
      </c>
      <c r="B5" s="11"/>
      <c r="C5" s="16">
        <f>SUM(C6:C8)</f>
        <v>207740</v>
      </c>
      <c r="D5" s="18">
        <v>0.21536611410029133</v>
      </c>
    </row>
    <row r="6" spans="1:4" x14ac:dyDescent="0.35">
      <c r="A6" s="13">
        <v>5100</v>
      </c>
      <c r="B6" t="s">
        <v>39</v>
      </c>
      <c r="C6" s="9">
        <v>50070</v>
      </c>
      <c r="D6" s="19">
        <f t="shared" si="0"/>
        <v>5.1908064566292413E-2</v>
      </c>
    </row>
    <row r="7" spans="1:4" x14ac:dyDescent="0.35">
      <c r="A7" s="13">
        <v>5110</v>
      </c>
      <c r="B7" t="s">
        <v>40</v>
      </c>
      <c r="C7" s="9">
        <v>118400</v>
      </c>
      <c r="D7" s="19">
        <f t="shared" si="0"/>
        <v>0.12274645186037592</v>
      </c>
    </row>
    <row r="8" spans="1:4" x14ac:dyDescent="0.35">
      <c r="A8" s="13">
        <v>5120</v>
      </c>
      <c r="B8" t="s">
        <v>41</v>
      </c>
      <c r="C8" s="9">
        <v>39270</v>
      </c>
      <c r="D8" s="19">
        <f t="shared" si="0"/>
        <v>4.0711597673622993E-2</v>
      </c>
    </row>
    <row r="9" spans="1:4" x14ac:dyDescent="0.35">
      <c r="A9" s="14" t="s">
        <v>42</v>
      </c>
      <c r="B9" s="11"/>
      <c r="C9" s="16">
        <f>SUM(C10:C12)</f>
        <v>556550</v>
      </c>
      <c r="D9" s="18">
        <f t="shared" si="0"/>
        <v>0.57698089343658965</v>
      </c>
    </row>
    <row r="10" spans="1:4" x14ac:dyDescent="0.35">
      <c r="A10" s="13">
        <v>6100</v>
      </c>
      <c r="B10" t="s">
        <v>43</v>
      </c>
      <c r="C10" s="9">
        <v>214000</v>
      </c>
      <c r="D10" s="19">
        <f t="shared" si="0"/>
        <v>0.2218559180584497</v>
      </c>
    </row>
    <row r="11" spans="1:4" x14ac:dyDescent="0.35">
      <c r="A11" s="13">
        <v>6110</v>
      </c>
      <c r="B11" t="s">
        <v>44</v>
      </c>
      <c r="C11" s="9">
        <v>38650</v>
      </c>
      <c r="D11" s="19">
        <f t="shared" si="0"/>
        <v>4.0068837537191968E-2</v>
      </c>
    </row>
    <row r="12" spans="1:4" x14ac:dyDescent="0.35">
      <c r="A12" s="13">
        <v>6120</v>
      </c>
      <c r="B12" t="s">
        <v>45</v>
      </c>
      <c r="C12" s="9">
        <v>303900</v>
      </c>
      <c r="D12" s="19">
        <f t="shared" si="0"/>
        <v>0.31505613784094799</v>
      </c>
    </row>
    <row r="13" spans="1:4" x14ac:dyDescent="0.35">
      <c r="A13" s="14" t="s">
        <v>46</v>
      </c>
      <c r="B13" s="11"/>
      <c r="C13" s="16">
        <f>SUM(C14:C16)</f>
        <v>200300</v>
      </c>
      <c r="D13" s="18">
        <f t="shared" si="0"/>
        <v>0.20765299246311905</v>
      </c>
    </row>
    <row r="14" spans="1:4" x14ac:dyDescent="0.35">
      <c r="A14" s="13">
        <v>7100</v>
      </c>
      <c r="B14" t="s">
        <v>47</v>
      </c>
      <c r="C14" s="9">
        <v>142000</v>
      </c>
      <c r="D14" s="19">
        <f t="shared" si="0"/>
        <v>0.14721280544065354</v>
      </c>
    </row>
    <row r="15" spans="1:4" x14ac:dyDescent="0.35">
      <c r="A15" s="13">
        <v>7110</v>
      </c>
      <c r="B15" t="s">
        <v>48</v>
      </c>
      <c r="C15" s="9">
        <v>36500</v>
      </c>
      <c r="D15" s="19">
        <f t="shared" si="0"/>
        <v>3.783991125763278E-2</v>
      </c>
    </row>
    <row r="16" spans="1:4" x14ac:dyDescent="0.35">
      <c r="A16" s="13">
        <v>7120</v>
      </c>
      <c r="B16" t="s">
        <v>49</v>
      </c>
      <c r="C16" s="9">
        <v>21800</v>
      </c>
      <c r="D16" s="19">
        <f t="shared" si="0"/>
        <v>2.2600275764832728E-2</v>
      </c>
    </row>
    <row r="17" spans="1:4" ht="15" thickBot="1" x14ac:dyDescent="0.4">
      <c r="A17" s="15" t="s">
        <v>50</v>
      </c>
      <c r="B17" s="12"/>
      <c r="C17" s="17">
        <f>SUM(C5,C9,C13)</f>
        <v>964590</v>
      </c>
      <c r="D17" s="20">
        <f t="shared" si="0"/>
        <v>1</v>
      </c>
    </row>
    <row r="18" spans="1:4" ht="15" thickTop="1" x14ac:dyDescent="0.35"/>
  </sheetData>
  <pageMargins left="0.7" right="0.7" top="0.75" bottom="0.75" header="0.3" footer="0.3"/>
  <pageSetup scale="97" fitToHeight="0" orientation="portrait" r:id="rId1"/>
  <headerFoot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0204-F89C-40E1-B948-32C90D920D02}">
  <dimension ref="A1:F9"/>
  <sheetViews>
    <sheetView showGridLines="0" workbookViewId="0"/>
  </sheetViews>
  <sheetFormatPr defaultRowHeight="14.5" x14ac:dyDescent="0.35"/>
  <cols>
    <col min="1" max="1" width="16.6328125" customWidth="1"/>
    <col min="2" max="2" width="15.6328125" customWidth="1"/>
    <col min="3" max="3" width="17.6328125" customWidth="1"/>
    <col min="4" max="5" width="12.6328125" customWidth="1"/>
    <col min="6" max="6" width="11.6328125" customWidth="1"/>
  </cols>
  <sheetData>
    <row r="1" spans="1:6" ht="21" x14ac:dyDescent="0.5">
      <c r="A1" s="6" t="s">
        <v>51</v>
      </c>
    </row>
    <row r="2" spans="1:6" x14ac:dyDescent="0.35">
      <c r="A2" s="7" t="str">
        <f>"Fiscal year ended "&amp;TEXT(FiscalYearEnd,"mmmm d, yyyy")</f>
        <v>Fiscal year ended December 31, 2025</v>
      </c>
    </row>
    <row r="4" spans="1:6" ht="30" customHeight="1" x14ac:dyDescent="0.35">
      <c r="A4" s="22" t="s">
        <v>15</v>
      </c>
      <c r="B4" s="22" t="s">
        <v>52</v>
      </c>
      <c r="C4" s="22" t="s">
        <v>53</v>
      </c>
      <c r="D4" s="22" t="s">
        <v>54</v>
      </c>
      <c r="E4" s="22" t="s">
        <v>55</v>
      </c>
      <c r="F4" s="22" t="s">
        <v>56</v>
      </c>
    </row>
    <row r="5" spans="1:6" x14ac:dyDescent="0.35">
      <c r="A5" s="23" t="s">
        <v>38</v>
      </c>
      <c r="B5" s="26">
        <f>'Indirect Pools'!C5</f>
        <v>207740</v>
      </c>
      <c r="C5" s="26">
        <f>'Direct Labor'!F11</f>
        <v>654541.5</v>
      </c>
      <c r="D5" s="30">
        <f>FringeRate</f>
        <v>0.31738247307466372</v>
      </c>
      <c r="E5" s="36">
        <v>0.312</v>
      </c>
      <c r="F5" s="33">
        <f t="shared" ref="F5:F7" si="0">D5-E5</f>
        <v>5.3824730746637184E-3</v>
      </c>
    </row>
    <row r="6" spans="1:6" x14ac:dyDescent="0.35">
      <c r="A6" s="24" t="s">
        <v>42</v>
      </c>
      <c r="B6" s="27">
        <f>'Indirect Pools'!C9</f>
        <v>556550</v>
      </c>
      <c r="C6" s="27">
        <f>'Direct Labor'!F11</f>
        <v>654541.5</v>
      </c>
      <c r="D6" s="31">
        <f>OverheadRate</f>
        <v>0.85028985939012269</v>
      </c>
      <c r="E6" s="37">
        <v>0.874</v>
      </c>
      <c r="F6" s="34">
        <f t="shared" si="0"/>
        <v>-2.3710140609877306E-2</v>
      </c>
    </row>
    <row r="7" spans="1:6" x14ac:dyDescent="0.35">
      <c r="A7" s="25" t="s">
        <v>46</v>
      </c>
      <c r="B7" s="28">
        <f>'Indirect Pools'!C13</f>
        <v>200300</v>
      </c>
      <c r="C7" s="28">
        <f>'Direct Labor'!F11+B5+B6</f>
        <v>1418831.5</v>
      </c>
      <c r="D7" s="32">
        <f>GARate</f>
        <v>0.14117250709474663</v>
      </c>
      <c r="E7" s="38">
        <v>0.13900000000000001</v>
      </c>
      <c r="F7" s="35">
        <f t="shared" si="0"/>
        <v>2.1725070947466174E-3</v>
      </c>
    </row>
    <row r="9" spans="1:6" x14ac:dyDescent="0.35">
      <c r="A9" s="21" t="s">
        <v>57</v>
      </c>
      <c r="C9" s="29">
        <f>DirectLabor[[#Totals],[Cost]]</f>
        <v>654541.5</v>
      </c>
    </row>
  </sheetData>
  <conditionalFormatting sqref="F5:F7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Cover</vt:lpstr>
      <vt:lpstr>Direct Labor</vt:lpstr>
      <vt:lpstr>Indirect Pools</vt:lpstr>
      <vt:lpstr>Rates</vt:lpstr>
      <vt:lpstr>ContractorName</vt:lpstr>
      <vt:lpstr>FiscalYearEnd</vt:lpstr>
      <vt:lpstr>IndirectPools</vt:lpstr>
      <vt:lpstr>PreparedBy</vt:lpstr>
      <vt:lpstr>'Direct Labor'!Print_Area</vt:lpstr>
      <vt:lpstr>'Direct Labor'!Print_Titles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2026-09-28T16:00:48Z</dcterms:created>
  <dcterms:modified xsi:type="dcterms:W3CDTF">2026-09-28T16:00:55Z</dcterms:modified>
</cp:coreProperties>
</file>